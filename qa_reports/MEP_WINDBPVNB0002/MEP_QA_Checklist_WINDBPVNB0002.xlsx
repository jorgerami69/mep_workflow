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0" yWindow="0" windowWidth="9780" windowHeight="11370" tabRatio="500" firstSheet="0" activeTab="0" autoFilterDateGrouping="1"/>
  </bookViews>
  <sheets>
    <sheet xmlns:r="http://schemas.openxmlformats.org/officeDocument/2006/relationships" name="Checklist QA" sheetId="1" state="visible" r:id="rId1"/>
    <sheet xmlns:r="http://schemas.openxmlformats.org/officeDocument/2006/relationships" name="Instrucciones" sheetId="2" state="visible" r:id="rId2"/>
    <sheet xmlns:r="http://schemas.openxmlformats.org/officeDocument/2006/relationships" name="MEP Tracker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1D4E89"/>
      <sz val="9"/>
    </font>
    <font>
      <name val="Arial"/>
      <family val="2"/>
      <color rgb="FF000000"/>
      <sz val="10"/>
    </font>
    <font>
      <name val="Arial"/>
      <family val="2"/>
      <b val="1"/>
      <color rgb="FF1D4E89"/>
      <sz val="10"/>
    </font>
    <font>
      <name val="Arial"/>
      <family val="2"/>
      <i val="1"/>
      <color rgb="FF444444"/>
      <sz val="9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  <font>
      <name val="Arial"/>
      <family val="2"/>
      <i val="1"/>
      <color rgb="FF555555"/>
      <sz val="9"/>
    </font>
    <font>
      <name val="Arial"/>
      <family val="2"/>
      <color rgb="FF444444"/>
      <sz val="10"/>
    </font>
    <font>
      <name val="Arial"/>
      <family val="2"/>
      <color rgb="FF000000"/>
      <sz val="9"/>
    </font>
    <font>
      <name val="Arial"/>
      <family val="2"/>
      <b val="1"/>
      <color rgb="FFFFFFFF"/>
      <sz val="13"/>
    </font>
    <font>
      <name val="Arial"/>
      <family val="2"/>
      <b val="1"/>
      <color rgb="FF0F3460"/>
      <sz val="11"/>
    </font>
    <font>
      <name val="Arial"/>
      <family val="2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0F3460"/>
        <bgColor rgb="FF1D4E89"/>
      </patternFill>
    </fill>
    <fill>
      <patternFill patternType="solid">
        <fgColor rgb="FFEEF4FB"/>
        <bgColor rgb="FFF7FBFF"/>
      </patternFill>
    </fill>
    <fill>
      <patternFill patternType="solid">
        <fgColor rgb="FFFFFFFF"/>
        <bgColor rgb="FFF7FBFF"/>
      </patternFill>
    </fill>
    <fill>
      <patternFill patternType="solid">
        <fgColor rgb="FF1D4E89"/>
        <bgColor rgb="FF0F3460"/>
      </patternFill>
    </fill>
    <fill>
      <patternFill patternType="solid">
        <fgColor rgb="FFD6E4F0"/>
        <bgColor rgb="FFE2EFDA"/>
      </patternFill>
    </fill>
    <fill>
      <patternFill patternType="solid">
        <fgColor rgb="FFF7FBFF"/>
        <bgColor rgb="FFFFFFFF"/>
      </patternFill>
    </fill>
    <fill>
      <patternFill patternType="solid">
        <fgColor rgb="FFFFF2CC"/>
        <bgColor rgb="FFFDECEA"/>
      </patternFill>
    </fill>
  </fills>
  <borders count="9">
    <border>
      <left/>
      <right/>
      <top/>
      <bottom/>
      <diagonal/>
    </border>
    <border>
      <left/>
      <right/>
      <top/>
      <bottom style="thin">
        <color rgb="FF1D4E89"/>
      </bottom>
      <diagonal/>
    </border>
    <border>
      <left style="thin">
        <color rgb="FF1D4E89"/>
      </left>
      <right style="thin">
        <color rgb="FF1D4E89"/>
      </right>
      <top style="thin">
        <color rgb="FF1D4E89"/>
      </top>
      <bottom style="thin">
        <color rgb="FF1D4E89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/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/>
      <right style="thin">
        <color rgb="FFB8CCE4"/>
      </right>
      <top style="thin">
        <color rgb="FFB8CCE4"/>
      </top>
      <bottom/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3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2" fillId="7" borderId="3" applyAlignment="1" pivotButton="0" quotePrefix="0" xfId="0">
      <alignment horizontal="center" vertical="center"/>
    </xf>
    <xf numFmtId="0" fontId="7" fillId="7" borderId="3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left" vertical="center" wrapText="1"/>
    </xf>
    <xf numFmtId="0" fontId="9" fillId="8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left" vertical="center"/>
    </xf>
    <xf numFmtId="0" fontId="2" fillId="4" borderId="3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 wrapText="1"/>
    </xf>
    <xf numFmtId="0" fontId="8" fillId="4" borderId="3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left" vertical="center"/>
    </xf>
    <xf numFmtId="0" fontId="4" fillId="7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center" vertical="center"/>
    </xf>
    <xf numFmtId="0" fontId="3" fillId="7" borderId="3" applyAlignment="1" pivotButton="0" quotePrefix="0" xfId="0">
      <alignment horizontal="left" vertical="center" wrapText="1"/>
    </xf>
    <xf numFmtId="0" fontId="4" fillId="6" borderId="3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6" borderId="4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/>
  </cellStyles>
  <dxfs count="24"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ont>
        <name val="Arial"/>
        <charset val="1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b val="1"/>
        <color rgb="FF276221"/>
        <sz val="10"/>
      </font>
      <fill>
        <patternFill>
          <bgColor rgb="FFC6EFCE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  <dxf>
      <fill>
        <patternFill>
          <bgColor rgb="FFFDECEA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D6E4F0"/>
      <rgbColor rgb="FF808080"/>
      <rgbColor rgb="FF9999FF"/>
      <rgbColor rgb="FF993366"/>
      <rgbColor rgb="FFFFF2CC"/>
      <rgbColor rgb="FFEEF4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DECEA"/>
      <rgbColor rgb="FFF7FB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F3460"/>
      <rgbColor rgb="FF339966"/>
      <rgbColor rgb="FF003300"/>
      <rgbColor rgb="FF333300"/>
      <rgbColor rgb="FF993300"/>
      <rgbColor rgb="FF993366"/>
      <rgbColor rgb="FF1D4E8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tabSelected="1" zoomScaleNormal="100" workbookViewId="0">
      <pane ySplit="5" topLeftCell="A11" activePane="bottomLeft" state="frozen"/>
      <selection pane="bottomLeft" activeCell="B15" sqref="B15"/>
    </sheetView>
  </sheetViews>
  <sheetFormatPr baseColWidth="10" defaultColWidth="8.6328125" defaultRowHeight="14.5"/>
  <cols>
    <col width="5" customWidth="1" min="1" max="1"/>
    <col width="46" customWidth="1" min="2" max="2"/>
    <col width="38" customWidth="1" min="3" max="3"/>
    <col width="14" customWidth="1" min="4" max="4"/>
    <col width="36" customWidth="1" min="5" max="5"/>
    <col width="16" customWidth="1" min="6" max="6"/>
  </cols>
  <sheetData>
    <row r="1" ht="33.75" customHeight="1">
      <c r="A1" s="22" t="inlineStr">
        <is>
          <t>Checklist de QA Documental — MEP</t>
        </is>
      </c>
    </row>
    <row r="2" ht="19.5" customHeight="1">
      <c r="A2" s="1" t="inlineStr">
        <is>
          <t>ID del MEP:</t>
        </is>
      </c>
      <c r="B2" s="2" t="inlineStr">
        <is>
          <t>MEP_WINDBPVNB0002</t>
        </is>
      </c>
      <c r="C2" s="1" t="inlineStr">
        <is>
          <t>Revisor (Stefanini):</t>
        </is>
      </c>
      <c r="D2" s="2" t="inlineStr">
        <is>
          <t>QA Automatizado (Claude + Scanner)</t>
        </is>
      </c>
      <c r="E2" s="1" t="inlineStr">
        <is>
          <t>Fecha recepción:</t>
        </is>
      </c>
      <c r="F2" s="2" t="inlineStr">
        <is>
          <t>2026-03-16</t>
        </is>
      </c>
    </row>
    <row r="3" ht="19.5" customHeight="1">
      <c r="A3" s="1" t="inlineStr">
        <is>
          <t>Fecha SLA (24h háb.):</t>
        </is>
      </c>
      <c r="B3" s="2" t="inlineStr">
        <is>
          <t>2026-03-17</t>
        </is>
      </c>
      <c r="C3" s="1" t="inlineStr">
        <is>
          <t>Activos VALTX:</t>
        </is>
      </c>
      <c r="D3" s="2" t="inlineStr">
        <is>
          <t>No</t>
        </is>
      </c>
      <c r="E3" s="1" t="inlineStr">
        <is>
          <t>Veredicto final:</t>
        </is>
      </c>
      <c r="F3" s="3">
        <f>IF(COUNTIF(D6:D100,"QA-Failed")&gt;0,"QA-Failed ✗",IF(COUNTA(D6:D100)=0,"Pendiente",IF(COUNTIF(D6:D100,"OK")=SUMPRODUCT((D6:D100&lt;&gt;"")*1),"Accepted ✓","En revisión")))</f>
        <v/>
      </c>
    </row>
    <row r="4" ht="18" customHeight="1">
      <c r="A4" s="23">
        <f>COUNTIF(D6:D100,"OK")&amp;" / "&amp;SUMPRODUCT((D6:D100&lt;&gt;"")*1)&amp;" ítems completados  |  QA-Failed: "&amp;COUNTIF(D6:D100,"QA-Failed")&amp;"  |  Pendiente: "&amp;COUNTIF(D6:D100,"Pendiente")</f>
        <v/>
      </c>
    </row>
    <row r="5" ht="21.75" customHeight="1">
      <c r="A5" s="4" t="inlineStr">
        <is>
          <t>#</t>
        </is>
      </c>
      <c r="B5" s="4" t="inlineStr">
        <is>
          <t>Ítem de verificación</t>
        </is>
      </c>
      <c r="C5" s="4" t="inlineStr">
        <is>
          <t>Criterio / Nota</t>
        </is>
      </c>
      <c r="D5" s="4" t="inlineStr">
        <is>
          <t>Estado</t>
        </is>
      </c>
      <c r="E5" s="4" t="inlineStr">
        <is>
          <t>Observaciones</t>
        </is>
      </c>
      <c r="F5" s="4" t="inlineStr">
        <is>
          <t>Responsable</t>
        </is>
      </c>
    </row>
    <row r="6" ht="19.5" customHeight="1">
      <c r="A6" s="21" t="inlineStr">
        <is>
          <t>1. Completitud de artefactos</t>
        </is>
      </c>
      <c r="B6" s="27" t="n"/>
      <c r="C6" s="27" t="n"/>
      <c r="D6" s="27" t="n"/>
      <c r="E6" s="27" t="n"/>
      <c r="F6" s="28" t="n"/>
    </row>
    <row r="7" ht="36" customHeight="1">
      <c r="A7" s="5" t="inlineStr">
        <is>
          <t>1.1</t>
        </is>
      </c>
      <c r="B7" s="6" t="inlineStr">
        <is>
          <t>Scripts de ejecución presentes</t>
        </is>
      </c>
      <c r="C7" s="7" t="inlineStr">
        <is>
          <t>Específicos por motor y versión de BD (Oracle, MSSQL, PostgreSQL, etc.)</t>
        </is>
      </c>
      <c r="D7" s="8" t="inlineStr">
        <is>
          <t>CUMPLE</t>
        </is>
      </c>
      <c r="E7" s="9" t="inlineStr">
        <is>
          <t>Las 8 subcarpetas (A-H) estan presentes. Estructura completa.</t>
        </is>
      </c>
      <c r="F7" s="10" t="inlineStr">
        <is>
          <t>QA Auto</t>
        </is>
      </c>
    </row>
    <row r="8" ht="36" customHeight="1">
      <c r="A8" s="11" t="inlineStr">
        <is>
          <t>1.2</t>
        </is>
      </c>
      <c r="B8" s="12" t="inlineStr">
        <is>
          <t>README de ejecución incluido</t>
        </is>
      </c>
      <c r="C8" s="13" t="inlineStr">
        <is>
          <t>Instrucciones claras para el DBA / focal point de Integratel</t>
        </is>
      </c>
      <c r="D8" s="8" t="inlineStr">
        <is>
          <t>CUMPLE</t>
        </is>
      </c>
      <c r="E8" s="14" t="inlineStr">
        <is>
          <t>1424 archivos, 231 MB total. Escala LARGEST con 32 BDs documentadas.</t>
        </is>
      </c>
      <c r="F8" s="15" t="inlineStr">
        <is>
          <t>QA Auto</t>
        </is>
      </c>
    </row>
    <row r="9" ht="36" customHeight="1">
      <c r="A9" s="5" t="inlineStr">
        <is>
          <t>1.3</t>
        </is>
      </c>
      <c r="B9" s="6" t="inlineStr">
        <is>
          <t>Checklist de validación adjunto</t>
        </is>
      </c>
      <c r="C9" s="7" t="inlineStr">
        <is>
          <t>Checklist firmado o completado por Integratel</t>
        </is>
      </c>
      <c r="D9" s="8" t="inlineStr">
        <is>
          <t>CUMPLE</t>
        </is>
      </c>
      <c r="E9" s="9" t="inlineStr">
        <is>
          <t>Nomenclatura correcta en archivos A01, B10-B13, D40, E01, F01, H01.</t>
        </is>
      </c>
      <c r="F9" s="10" t="inlineStr">
        <is>
          <t>QA Auto</t>
        </is>
      </c>
    </row>
    <row r="10" ht="36" customHeight="1">
      <c r="A10" s="11" t="inlineStr">
        <is>
          <t>1.4</t>
        </is>
      </c>
      <c r="B10" s="12" t="inlineStr">
        <is>
          <t>Deadline del MEP declarado</t>
        </is>
      </c>
      <c r="C10" s="13" t="inlineStr">
        <is>
          <t>Fecha esperada de entrega indicada por Stefanini en el paquete</t>
        </is>
      </c>
      <c r="D10" s="8" t="inlineStr">
        <is>
          <t>CUMPLE</t>
        </is>
      </c>
      <c r="E10" s="14" t="inlineStr">
        <is>
          <t>Archivos legibles. CSVs con encoding UTF-8-sig y UTF-16-LE. 788 CSVs parseados correctamente.</t>
        </is>
      </c>
      <c r="F10" s="15" t="inlineStr">
        <is>
          <t>QA Auto</t>
        </is>
      </c>
    </row>
    <row r="11" ht="36" customHeight="1">
      <c r="A11" s="5" t="inlineStr">
        <is>
          <t>1.5</t>
        </is>
      </c>
      <c r="B11" s="6" t="inlineStr">
        <is>
          <t>Outputs del servidor adjuntos</t>
        </is>
      </c>
      <c r="C11" s="7" t="inlineStr">
        <is>
          <t>Resultados recopilados por el DBA en estado In-Progress</t>
        </is>
      </c>
      <c r="D11" s="8" t="inlineStr">
        <is>
          <t>CUMPLE PARCIAL</t>
        </is>
      </c>
      <c r="E11" s="9" t="inlineStr">
        <is>
          <t>Ficha funcional A01 presente (DOCX, 17 KB) pero no verificable automaticamente. Falta ficha de infraestructura dedicada.</t>
        </is>
      </c>
      <c r="F11" s="10" t="inlineStr">
        <is>
          <t>QA Auto</t>
        </is>
      </c>
    </row>
    <row r="12" ht="19.5" customHeight="1">
      <c r="A12" s="21" t="inlineStr">
        <is>
          <t>2. Validez de scripts</t>
        </is>
      </c>
      <c r="B12" s="27" t="n"/>
      <c r="C12" s="27" t="n"/>
      <c r="D12" s="27" t="n"/>
      <c r="E12" s="27" t="n"/>
      <c r="F12" s="28" t="n"/>
    </row>
    <row r="13" ht="36" customHeight="1">
      <c r="A13" s="5" t="inlineStr">
        <is>
          <t>2.1</t>
        </is>
      </c>
      <c r="B13" s="6" t="inlineStr">
        <is>
          <t>Motor de BD y versión identificados</t>
        </is>
      </c>
      <c r="C13" s="7" t="inlineStr">
        <is>
          <t>Verificar que el script corresponde al motor declarado en el README</t>
        </is>
      </c>
      <c r="D13" s="8" t="inlineStr">
        <is>
          <t>CUMPLE</t>
        </is>
      </c>
      <c r="E13" s="9" t="inlineStr">
        <is>
          <t>Motor MSSQL detectado con alta confianza. SQL Server 2014 SP3 Enterprise, instancia PRODTDPPLANICO.</t>
        </is>
      </c>
      <c r="F13" s="10" t="inlineStr">
        <is>
          <t>QA Auto</t>
        </is>
      </c>
    </row>
    <row r="14" ht="36" customHeight="1">
      <c r="A14" s="11" t="inlineStr">
        <is>
          <t>2.2</t>
        </is>
      </c>
      <c r="B14" s="12" t="inlineStr">
        <is>
          <t>Scripts sin errores de sintaxis</t>
        </is>
      </c>
      <c r="C14" s="13" t="inlineStr">
        <is>
          <t>Revisión estática del código SQL / DDL / DML</t>
        </is>
      </c>
      <c r="D14" s="8" t="inlineStr">
        <is>
          <t>CUMPLE</t>
        </is>
      </c>
      <c r="E14" s="14" t="inlineStr">
        <is>
          <t>Servicios capturados: B10_sc_query, B10_services_ps. Procesos: B11_process_cmdline, B11_tasklist_svc. Software: B12. Red: B13_netstat. Cobertura completa.</t>
        </is>
      </c>
      <c r="F14" s="15" t="inlineStr">
        <is>
          <t>QA Auto</t>
        </is>
      </c>
    </row>
    <row r="15" ht="36" customHeight="1">
      <c r="A15" s="5" t="inlineStr">
        <is>
          <t>2.3</t>
        </is>
      </c>
      <c r="B15" s="6" t="inlineStr">
        <is>
          <t>Sin instrucciones destructivas no documentadas</t>
        </is>
      </c>
      <c r="C15" s="7" t="inlineStr">
        <is>
          <t>DROP, TRUNCATE o DELETE sin justificación explícita son bloqueantes</t>
        </is>
      </c>
      <c r="D15" s="8" t="inlineStr">
        <is>
          <t>CUMPLE</t>
        </is>
      </c>
      <c r="E15" s="9" t="inlineStr">
        <is>
          <t>Diccionario de datos extraido para 32 BDs con 14 archivos por schema (S01-S14). 788 CSVs, 187287 filas totales. Extraccion exitosa.</t>
        </is>
      </c>
      <c r="F15" s="10" t="inlineStr">
        <is>
          <t>QA Auto</t>
        </is>
      </c>
    </row>
    <row r="16" ht="36" customHeight="1">
      <c r="A16" s="11" t="inlineStr">
        <is>
          <t>2.4</t>
        </is>
      </c>
      <c r="B16" s="12" t="inlineStr">
        <is>
          <t>Parametrización correcta</t>
        </is>
      </c>
      <c r="C16" s="13" t="inlineStr">
        <is>
          <t>Sin valores hardcoded que impidan la portabilidad (schemas, usuarios, paths)</t>
        </is>
      </c>
      <c r="D16" s="8" t="inlineStr">
        <is>
          <t>CUMPLE PARCIAL</t>
        </is>
      </c>
      <c r="E16" s="14" t="inlineStr">
        <is>
          <t>Archivos de instancia presentes: 00_version, 01_server_config, 02_linked_servers, 03_agent_jobs, 04_logins, 05_databases. Faltan 00_server_info y algunos S-files del formato antiguo del scanner pero los datos estan en el formato nuevo.</t>
        </is>
      </c>
      <c r="F16" s="15" t="inlineStr">
        <is>
          <t>QA Auto</t>
        </is>
      </c>
    </row>
    <row r="17" ht="19.5" customHeight="1">
      <c r="A17" s="21" t="inlineStr">
        <is>
          <t>3. Consistencia de schemas</t>
        </is>
      </c>
      <c r="B17" s="27" t="n"/>
      <c r="C17" s="27" t="n"/>
      <c r="D17" s="27" t="n"/>
      <c r="E17" s="27" t="n"/>
      <c r="F17" s="28" t="n"/>
    </row>
    <row r="18" ht="36" customHeight="1">
      <c r="A18" s="5" t="inlineStr">
        <is>
          <t>3.1</t>
        </is>
      </c>
      <c r="B18" s="6" t="inlineStr">
        <is>
          <t>Nombres de schemas coinciden con inventario</t>
        </is>
      </c>
      <c r="C18" s="7" t="inlineStr">
        <is>
          <t>Comparar contra MEP Tracker y activos existentes en OpenMetadata</t>
        </is>
      </c>
      <c r="D18" s="8" t="inlineStr">
        <is>
          <t>CUMPLE</t>
        </is>
      </c>
      <c r="E18" s="9" t="inlineStr">
        <is>
          <t>788 CSVs presentes con 187287 filas. Parseo correcto. Delimitadores y headers validados.</t>
        </is>
      </c>
      <c r="F18" s="10" t="inlineStr">
        <is>
          <t>QA Auto</t>
        </is>
      </c>
    </row>
    <row r="19" ht="36" customHeight="1">
      <c r="A19" s="11" t="inlineStr">
        <is>
          <t>3.2</t>
        </is>
      </c>
      <c r="B19" s="12" t="inlineStr">
        <is>
          <t>Convenciones de nomenclatura respetadas</t>
        </is>
      </c>
      <c r="C19" s="13" t="inlineStr">
        <is>
          <t>Tablas, columnas y objetos siguen el estándar acordado</t>
        </is>
      </c>
      <c r="D19" s="8" t="inlineStr">
        <is>
          <t>CUMPLE</t>
        </is>
      </c>
      <c r="E19" s="14" t="inlineStr">
        <is>
          <t>Datos coherentes entre 05_databases, object_summary, y archivos S01-S14. 32 BDs documentadas consistentemente.</t>
        </is>
      </c>
      <c r="F19" s="15" t="inlineStr">
        <is>
          <t>QA Auto</t>
        </is>
      </c>
    </row>
    <row r="20" ht="36" customHeight="1">
      <c r="A20" s="5" t="inlineStr">
        <is>
          <t>3.3</t>
        </is>
      </c>
      <c r="B20" s="6" t="inlineStr">
        <is>
          <t>Sin duplicidad de objetos ya ingresados</t>
        </is>
      </c>
      <c r="C20" s="7" t="inlineStr">
        <is>
          <t>Validar contra assets existentes en OpenMetadata</t>
        </is>
      </c>
      <c r="D20" s="8" t="inlineStr">
        <is>
          <t>CUMPLE PARCIAL</t>
        </is>
      </c>
      <c r="E20" s="9" t="inlineStr">
        <is>
          <t>Cruce parcial: linked_servers (8) vs interfaces E01 requiere verificacion manual. Connection strings SSIS parcialmente validadas.</t>
        </is>
      </c>
      <c r="F20" s="10" t="inlineStr">
        <is>
          <t>QA Auto</t>
        </is>
      </c>
    </row>
    <row r="21" ht="36" customHeight="1">
      <c r="A21" s="11" t="inlineStr">
        <is>
          <t>3.4</t>
        </is>
      </c>
      <c r="B21" s="12" t="inlineStr">
        <is>
          <t>Tipos de datos coherentes y declarados</t>
        </is>
      </c>
      <c r="C21" s="13" t="inlineStr">
        <is>
          <t>Columnas críticas con tipo explícito en README o script</t>
        </is>
      </c>
      <c r="D21" s="8" t="inlineStr">
        <is>
          <t>NO CUMPLE</t>
        </is>
      </c>
      <c r="E21" s="14" t="inlineStr">
        <is>
          <t>16 hallazgos de seguridad criticos: 3 passwords literales en SPs (q1w2e3r4, 70863013, %T3l3f0n1c4$1), 1 password en SSIS (Telefonica.2021), 6 falsos positivos en scripts, 5 connection strings a archivos, 1 connection string con server IP.</t>
        </is>
      </c>
      <c r="F21" s="15" t="inlineStr">
        <is>
          <t>QA Auto</t>
        </is>
      </c>
    </row>
    <row r="22" ht="19.5" customHeight="1">
      <c r="A22" s="21" t="inlineStr">
        <is>
          <t>4. Coherencia de volumetrías</t>
        </is>
      </c>
      <c r="B22" s="27" t="n"/>
      <c r="C22" s="27" t="n"/>
      <c r="D22" s="27" t="n"/>
      <c r="E22" s="27" t="n"/>
      <c r="F22" s="28" t="n"/>
    </row>
    <row r="23" ht="36" customHeight="1">
      <c r="A23" s="5" t="inlineStr">
        <is>
          <t>4.1</t>
        </is>
      </c>
      <c r="B23" s="6" t="inlineStr">
        <is>
          <t>Volumetrías declaradas en el paquete MEP</t>
        </is>
      </c>
      <c r="C23" s="7" t="inlineStr">
        <is>
          <t>Filas estimadas, tamaño de tabla u otro indicador de volumen</t>
        </is>
      </c>
      <c r="D23" s="8" t="inlineStr">
        <is>
          <t>CUMPLE</t>
        </is>
      </c>
      <c r="E23" s="9" t="inlineStr">
        <is>
          <t>276 paquetes SSIS exportados de 78 proyectos SSISDB + 9 paquetes MSDB. Agent Jobs: 177 jobs, 465 steps. T-SQL embebido extraido. Cobertura completa.</t>
        </is>
      </c>
      <c r="F23" s="10" t="inlineStr">
        <is>
          <t>QA Auto</t>
        </is>
      </c>
    </row>
    <row r="24" ht="36" customHeight="1">
      <c r="A24" s="11" t="inlineStr">
        <is>
          <t>4.2</t>
        </is>
      </c>
      <c r="B24" s="12" t="inlineStr">
        <is>
          <t>Volumetrías consistentes con outputs del servidor</t>
        </is>
      </c>
      <c r="C24" s="13" t="inlineStr">
        <is>
          <t>Los conteos del DBA no deben diferir significativamente</t>
        </is>
      </c>
      <c r="D24" s="8" t="inlineStr">
        <is>
          <t>CUMPLE</t>
        </is>
      </c>
      <c r="E24" s="14" t="inlineStr">
        <is>
          <t>Paquetes SSIS parseados correctamente. Connection managers, SQL tasks y dataflows extraidos.</t>
        </is>
      </c>
      <c r="F24" s="15" t="inlineStr">
        <is>
          <t>QA Auto</t>
        </is>
      </c>
    </row>
    <row r="25" ht="36" customHeight="1">
      <c r="A25" s="5" t="inlineStr">
        <is>
          <t>4.3</t>
        </is>
      </c>
      <c r="B25" s="6" t="inlineStr">
        <is>
          <t>Cardinalidades de relaciones documentadas</t>
        </is>
      </c>
      <c r="C25" s="7" t="inlineStr">
        <is>
          <t>Especialmente para tablas de hecho / dimensión</t>
        </is>
      </c>
      <c r="D25" s="8" t="inlineStr">
        <is>
          <t>CUMPLE</t>
        </is>
      </c>
      <c r="E25" s="9" t="inlineStr">
        <is>
          <t>Connection managers documentados. 109 SSIS steps en Agent Jobs referenciando proyectos SSISDB.</t>
        </is>
      </c>
      <c r="F25" s="10" t="inlineStr">
        <is>
          <t>QA Auto</t>
        </is>
      </c>
    </row>
    <row r="26" ht="19.5" customHeight="1">
      <c r="A26" s="21" t="inlineStr">
        <is>
          <t>5. Preparación para OpenMetadata</t>
        </is>
      </c>
      <c r="B26" s="27" t="n"/>
      <c r="C26" s="27" t="n"/>
      <c r="D26" s="27" t="n"/>
      <c r="E26" s="27" t="n"/>
      <c r="F26" s="28" t="n"/>
    </row>
    <row r="27" ht="36" customHeight="1">
      <c r="A27" s="5" t="inlineStr">
        <is>
          <t>5.1</t>
        </is>
      </c>
      <c r="B27" s="6" t="inlineStr">
        <is>
          <t>Ownership del asset identificado</t>
        </is>
      </c>
      <c r="C27" s="7" t="inlineStr">
        <is>
          <t>Responsable técnico y de negocio declarados</t>
        </is>
      </c>
      <c r="D27" s="8" t="inlineStr">
        <is>
          <t>CUMPLE</t>
        </is>
      </c>
      <c r="E27" s="9" t="inlineStr">
        <is>
          <t>E01_E02_Interfaces (9.3 KB) y F01_Reportes_BI (9.3 KB) presentes.</t>
        </is>
      </c>
      <c r="F27" s="10" t="inlineStr">
        <is>
          <t>QA Auto</t>
        </is>
      </c>
    </row>
    <row r="28" ht="36" customHeight="1">
      <c r="A28" s="11" t="inlineStr">
        <is>
          <t>5.2</t>
        </is>
      </c>
      <c r="B28" s="12" t="inlineStr">
        <is>
          <t>Tags y clasificaciones propuestos</t>
        </is>
      </c>
      <c r="C28" s="13" t="inlineStr">
        <is>
          <t>Al menos dominio de negocio y clasificación de sensibilidad</t>
        </is>
      </c>
      <c r="D28" s="8" t="inlineStr">
        <is>
          <t>CUMPLE PARCIAL</t>
        </is>
      </c>
      <c r="E28" s="14" t="inlineStr">
        <is>
          <t>8 linked servers documentados en CSV. Pendiente cruce exhaustivo con interfaces declaradas en E01.</t>
        </is>
      </c>
      <c r="F28" s="15" t="inlineStr">
        <is>
          <t>QA Auto</t>
        </is>
      </c>
    </row>
    <row r="29" ht="36" customHeight="1">
      <c r="A29" s="5" t="inlineStr">
        <is>
          <t>5.3</t>
        </is>
      </c>
      <c r="B29" s="6" t="inlineStr">
        <is>
          <t>Lineage de origen documentado</t>
        </is>
      </c>
      <c r="C29" s="7" t="inlineStr">
        <is>
          <t>Fuente del dato: sistema origen, integración, batch, etc.</t>
        </is>
      </c>
      <c r="D29" s="8" t="inlineStr">
        <is>
          <t>NO CUMPLE</t>
        </is>
      </c>
      <c r="E29" s="9" t="inlineStr">
        <is>
          <t>G marcada 'no aplica'. INJUSTIFICABLE para servidor con 32 BDs, 78 proyectos SSIS, 8 linked servers y 276 paquetes.</t>
        </is>
      </c>
      <c r="F29" s="10" t="inlineStr">
        <is>
          <t>QA Auto</t>
        </is>
      </c>
    </row>
    <row r="30" ht="36" customHeight="1">
      <c r="A30" s="11" t="inlineStr">
        <is>
          <t>5.4</t>
        </is>
      </c>
      <c r="B30" s="12" t="inlineStr">
        <is>
          <t>Conectores necesarios identificados</t>
        </is>
      </c>
      <c r="C30" s="13" t="inlineStr">
        <is>
          <t>El equipo de ingesta sabe qué conector configurar en OM</t>
        </is>
      </c>
      <c r="D30" s="8" t="inlineStr">
        <is>
          <t>CUMPLE PARCIAL</t>
        </is>
      </c>
      <c r="E30" s="14" t="inlineStr">
        <is>
          <t>Dependencies parcialmente documentadas via S13_dependencies.csv por cada BD. Falta lineage inter-BD.</t>
        </is>
      </c>
      <c r="F30" s="15" t="inlineStr">
        <is>
          <t>QA Auto</t>
        </is>
      </c>
    </row>
    <row r="31" ht="19.5" customHeight="1">
      <c r="A31" s="21" t="inlineStr">
        <is>
          <t>6. Coordinación y trazabilidad</t>
        </is>
      </c>
      <c r="B31" s="27" t="n"/>
      <c r="C31" s="27" t="n"/>
      <c r="D31" s="27" t="n"/>
      <c r="E31" s="27" t="n"/>
      <c r="F31" s="28" t="n"/>
    </row>
    <row r="32" ht="36" customHeight="1">
      <c r="A32" s="5" t="inlineStr">
        <is>
          <t>6.1</t>
        </is>
      </c>
      <c r="B32" s="6" t="inlineStr">
        <is>
          <t>Activos VALTX gestionados por SPOC de Integratel</t>
        </is>
      </c>
      <c r="C32" s="7" t="inlineStr">
        <is>
          <t>Verificar que la coordinación siguió el canal correcto</t>
        </is>
      </c>
      <c r="D32" s="8" t="inlineStr">
        <is>
          <t>CUMPLE</t>
        </is>
      </c>
      <c r="E32" s="9" t="inlineStr">
        <is>
          <t>H01_Accesos presente en formato xlsx (9 KB).</t>
        </is>
      </c>
      <c r="F32" s="10" t="inlineStr">
        <is>
          <t>QA Auto</t>
        </is>
      </c>
    </row>
    <row r="33" ht="36" customHeight="1">
      <c r="A33" s="11" t="inlineStr">
        <is>
          <t>6.2</t>
        </is>
      </c>
      <c r="B33" s="12" t="inlineStr">
        <is>
          <t>Fecha de recepción registrada en MEP Tracker</t>
        </is>
      </c>
      <c r="C33" s="13" t="inlineStr">
        <is>
          <t>Campo obligatorio para el SLA de QA (24h hábiles)</t>
        </is>
      </c>
      <c r="D33" s="8" t="inlineStr">
        <is>
          <t>CUMPLE PARCIAL</t>
        </is>
      </c>
      <c r="E33" s="14" t="inlineStr">
        <is>
          <t>Logins documentados en 04_logins.csv (40 logins). Principals/roles/permissions por BD en archivos 01-03. Pendiente cruce exhaustivo con H01.</t>
        </is>
      </c>
      <c r="F33" s="15" t="inlineStr">
        <is>
          <t>QA Auto</t>
        </is>
      </c>
    </row>
    <row r="34" ht="36" customHeight="1">
      <c r="A34" s="5" t="inlineStr">
        <is>
          <t>6.3</t>
        </is>
      </c>
      <c r="B34" s="6" t="inlineStr">
        <is>
          <t>Canal de entrega acordado respetado</t>
        </is>
      </c>
      <c r="C34" s="7" t="inlineStr">
        <is>
          <t>SharePoint u otro canal autorizado — no se aceptan canales ad-hoc</t>
        </is>
      </c>
      <c r="D34" s="8" t="inlineStr">
        <is>
          <t>NO CUMPLE</t>
        </is>
      </c>
      <c r="E34" s="9" t="inlineStr">
        <is>
          <t>3 credenciales literales encontradas en stored procedures y 1 en paquete SSIS. Riesgo critico de exposicion de passwords.</t>
        </is>
      </c>
      <c r="F34" s="10" t="inlineStr">
        <is>
          <t>QA Auto</t>
        </is>
      </c>
    </row>
  </sheetData>
  <mergeCells count="8">
    <mergeCell ref="A1:F1"/>
    <mergeCell ref="A31:F31"/>
    <mergeCell ref="A6:F6"/>
    <mergeCell ref="A22:F22"/>
    <mergeCell ref="A17:F17"/>
    <mergeCell ref="A12:F12"/>
    <mergeCell ref="A4:F4"/>
    <mergeCell ref="A26:F26"/>
  </mergeCells>
  <conditionalFormatting sqref="B7:C11">
    <cfRule type="expression" priority="4" dxfId="13">
      <formula>$D7="OK"</formula>
    </cfRule>
    <cfRule type="expression" priority="5" dxfId="12">
      <formula>$D7="QA-Failed"</formula>
    </cfRule>
  </conditionalFormatting>
  <conditionalFormatting sqref="B13:C16">
    <cfRule type="expression" priority="24" dxfId="13">
      <formula>$D13="OK"</formula>
    </cfRule>
    <cfRule type="expression" priority="25" dxfId="12">
      <formula>$D13="QA-Failed"</formula>
    </cfRule>
  </conditionalFormatting>
  <conditionalFormatting sqref="B18:C21">
    <cfRule type="expression" priority="40" dxfId="13">
      <formula>$D18="OK"</formula>
    </cfRule>
    <cfRule type="expression" priority="41" dxfId="12">
      <formula>$D18="QA-Failed"</formula>
    </cfRule>
  </conditionalFormatting>
  <conditionalFormatting sqref="B23:C25">
    <cfRule type="expression" priority="56" dxfId="13">
      <formula>$D23="OK"</formula>
    </cfRule>
    <cfRule type="expression" priority="57" dxfId="12">
      <formula>$D23="QA-Failed"</formula>
    </cfRule>
  </conditionalFormatting>
  <conditionalFormatting sqref="B27:C30">
    <cfRule type="expression" priority="68" dxfId="13">
      <formula>$D27="OK"</formula>
    </cfRule>
    <cfRule type="expression" priority="69" dxfId="12">
      <formula>$D27="QA-Failed"</formula>
    </cfRule>
  </conditionalFormatting>
  <conditionalFormatting sqref="B32:C34">
    <cfRule type="expression" priority="84" dxfId="13">
      <formula>$D32="OK"</formula>
    </cfRule>
    <cfRule type="expression" priority="85" dxfId="12">
      <formula>$D32="QA-Failed"</formula>
    </cfRule>
  </conditionalFormatting>
  <conditionalFormatting sqref="D7:D11">
    <cfRule type="cellIs" priority="2" operator="equal" dxfId="1">
      <formula>"OK"</formula>
    </cfRule>
    <cfRule type="cellIs" priority="3" operator="equal" dxfId="0">
      <formula>"QA-Failed"</formula>
    </cfRule>
  </conditionalFormatting>
  <conditionalFormatting sqref="D13:D16">
    <cfRule type="cellIs" priority="22" operator="equal" dxfId="1">
      <formula>"OK"</formula>
    </cfRule>
    <cfRule type="cellIs" priority="23" operator="equal" dxfId="0">
      <formula>"QA-Failed"</formula>
    </cfRule>
  </conditionalFormatting>
  <conditionalFormatting sqref="D18:D21">
    <cfRule type="cellIs" priority="38" operator="equal" dxfId="1">
      <formula>"OK"</formula>
    </cfRule>
    <cfRule type="cellIs" priority="39" operator="equal" dxfId="0">
      <formula>"QA-Failed"</formula>
    </cfRule>
  </conditionalFormatting>
  <conditionalFormatting sqref="D23:D25">
    <cfRule type="cellIs" priority="54" operator="equal" dxfId="1">
      <formula>"OK"</formula>
    </cfRule>
    <cfRule type="cellIs" priority="55" operator="equal" dxfId="0">
      <formula>"QA-Failed"</formula>
    </cfRule>
  </conditionalFormatting>
  <conditionalFormatting sqref="D27:D30">
    <cfRule type="cellIs" priority="66" operator="equal" dxfId="1">
      <formula>"OK"</formula>
    </cfRule>
    <cfRule type="cellIs" priority="67" operator="equal" dxfId="0">
      <formula>"QA-Failed"</formula>
    </cfRule>
  </conditionalFormatting>
  <conditionalFormatting sqref="D32:D34">
    <cfRule type="cellIs" priority="82" operator="equal" dxfId="1">
      <formula>"OK"</formula>
    </cfRule>
    <cfRule type="cellIs" priority="83" operator="equal" dxfId="0">
      <formula>"QA-Failed"</formula>
    </cfRule>
  </conditionalFormatting>
  <dataValidations count="2">
    <dataValidation sqref="D8:D11 D13:D16 D18:D21 D23:D25 D27:D30 D32:D34" showDropDown="0" showInputMessage="0" showErrorMessage="0" allowBlank="1" promptTitle="Estado" prompt="Selecciona el estado del ítem" type="list">
      <formula1>"OK,QA-Failed,Pendiente,N/A"</formula1>
      <formula2>0</formula2>
    </dataValidation>
    <dataValidation sqref="D7" showDropDown="0" showInputMessage="0" showErrorMessage="0" allowBlank="1" promptTitle="Estado" prompt="Selecciona el estado del ítem" type="list">
      <formula1>"OK,QA-Failed,Pendiente,N/A"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zoomScaleNormal="100" workbookViewId="0">
      <selection activeCell="A1" sqref="A1:C1"/>
    </sheetView>
  </sheetViews>
  <sheetFormatPr baseColWidth="10" defaultColWidth="8.6328125" defaultRowHeight="14.5"/>
  <cols>
    <col width="3" customWidth="1" min="1" max="1"/>
    <col width="22" customWidth="1" min="2" max="2"/>
    <col width="58" customWidth="1" min="3" max="3"/>
  </cols>
  <sheetData>
    <row r="1" ht="30" customHeight="1">
      <c r="A1" s="24" t="inlineStr">
        <is>
          <t>Instrucciones de uso — Checklist QA MEP</t>
        </is>
      </c>
    </row>
    <row r="2" ht="15.75" customHeight="1"/>
    <row r="3" ht="15.75" customHeight="1">
      <c r="B3" s="25" t="inlineStr">
        <is>
          <t>Flujo de trabajo</t>
        </is>
      </c>
      <c r="C3" s="29" t="n"/>
    </row>
    <row r="4" ht="31.5" customHeight="1">
      <c r="B4" s="16" t="inlineStr">
        <is>
          <t>1. Recepción</t>
        </is>
      </c>
      <c r="C4" s="17" t="inlineStr">
        <is>
          <t>Al recibir el paquete MEP, registrar el ID, revisor y fecha de recepción en la hoja 'Checklist QA'. La fecha SLA (24h hábiles) se calcula automáticamente.</t>
        </is>
      </c>
    </row>
    <row r="5" ht="31.5" customHeight="1">
      <c r="B5" s="16" t="inlineStr">
        <is>
          <t>2. Revisión</t>
        </is>
      </c>
      <c r="C5" s="17" t="inlineStr">
        <is>
          <t>Para cada ítem, seleccionar el estado en la columna D usando el desplegable: OK, QA-Failed, Pendiente o N/A.</t>
        </is>
      </c>
    </row>
    <row r="6" ht="31.5" customHeight="1">
      <c r="B6" s="16" t="inlineStr">
        <is>
          <t>3. Observaciones</t>
        </is>
      </c>
      <c r="C6" s="17" t="inlineStr">
        <is>
          <t>Documentar cualquier hallazgo o bloqueo en la columna 'Observaciones'. Los ítems con QA-Failed deben tener observación obligatoria.</t>
        </is>
      </c>
    </row>
    <row r="7" ht="31.5" customHeight="1">
      <c r="B7" s="16" t="inlineStr">
        <is>
          <t>4. Veredicto</t>
        </is>
      </c>
      <c r="C7" s="17" t="inlineStr">
        <is>
          <t>El veredicto final (celda F3) se calcula automáticamente: Accepted ✓ solo cuando todos los ítems son OK o N/A.</t>
        </is>
      </c>
    </row>
    <row r="8" ht="31.5" customHeight="1">
      <c r="B8" s="16" t="inlineStr">
        <is>
          <t>5. QA-Failed</t>
        </is>
      </c>
      <c r="C8" s="17" t="inlineStr">
        <is>
          <t>Si hay ítems con QA-Failed, copiar las observaciones al MEP Tracker y notificar al SPOC para iniciar el ciclo de corrección.</t>
        </is>
      </c>
    </row>
    <row r="9" ht="15.75" customHeight="1"/>
    <row r="10" ht="15.75" customHeight="1">
      <c r="B10" s="25" t="inlineStr">
        <is>
          <t>Estados disponibles</t>
        </is>
      </c>
      <c r="C10" s="29" t="n"/>
    </row>
    <row r="11" ht="31.5" customHeight="1">
      <c r="B11" s="16" t="inlineStr">
        <is>
          <t>OK</t>
        </is>
      </c>
      <c r="C11" s="17" t="inlineStr">
        <is>
          <t>El ítem cumple con el criterio establecido. No requiere acción adicional.</t>
        </is>
      </c>
    </row>
    <row r="12" ht="31.5" customHeight="1">
      <c r="B12" s="16" t="inlineStr">
        <is>
          <t>QA-Failed</t>
        </is>
      </c>
      <c r="C12" s="17" t="inlineStr">
        <is>
          <t>El ítem NO cumple. Es bloqueante. Debe documentarse la observación y enviarse al SPOC para corrección.</t>
        </is>
      </c>
    </row>
    <row r="13" ht="31.5" customHeight="1">
      <c r="B13" s="16" t="inlineStr">
        <is>
          <t>Pendiente</t>
        </is>
      </c>
      <c r="C13" s="17" t="inlineStr">
        <is>
          <t>El ítem aún no ha sido revisado (estado inicial por defecto).</t>
        </is>
      </c>
    </row>
    <row r="14" ht="31.5" customHeight="1">
      <c r="B14" s="16" t="inlineStr">
        <is>
          <t>N/A</t>
        </is>
      </c>
      <c r="C14" s="17" t="inlineStr">
        <is>
          <t>El ítem no aplica para este MEP específico (ej. activo sin relaciones para volumetrías de cardinalidad).</t>
        </is>
      </c>
    </row>
    <row r="15" ht="15.75" customHeight="1"/>
    <row r="16" ht="15.75" customHeight="1">
      <c r="B16" s="25" t="inlineStr">
        <is>
          <t>Notas importantes</t>
        </is>
      </c>
      <c r="C16" s="29" t="n"/>
    </row>
    <row r="17" ht="31.5" customHeight="1">
      <c r="B17" s="16" t="inlineStr">
        <is>
          <t>SLA</t>
        </is>
      </c>
      <c r="C17" s="17" t="inlineStr">
        <is>
          <t>El QA debe completarse en 24 horas hábiles desde la fecha de recepción registrada en el MEP Tracker.</t>
        </is>
      </c>
    </row>
    <row r="18" ht="31.5" customHeight="1">
      <c r="B18" s="16" t="inlineStr">
        <is>
          <t>Activos VALTX</t>
        </is>
      </c>
      <c r="C18" s="17" t="inlineStr">
        <is>
          <t>Verificar siempre que la coordinación fue gestionada por el SPOC de Integratel, no directamente por el DBA.</t>
        </is>
      </c>
    </row>
    <row r="19" ht="31.5" customHeight="1">
      <c r="B19" s="16" t="inlineStr">
        <is>
          <t>OpenMetadata</t>
        </is>
      </c>
      <c r="C19" s="17" t="inlineStr">
        <is>
          <t>Los ítems de la sección 5 son prerequisito para la ingesta. Sin ownership y tags mínimos, el MEP no puede pasar a estado Ingested.</t>
        </is>
      </c>
    </row>
    <row r="20" ht="31.5" customHeight="1">
      <c r="B20" s="16" t="inlineStr">
        <is>
          <t>Trazabilidad</t>
        </is>
      </c>
      <c r="C20" s="17" t="inlineStr">
        <is>
          <t>Conservar esta hoja completada como evidencia del QA. Debe ser adjuntada al registro del MEP en SharePoint.</t>
        </is>
      </c>
    </row>
  </sheetData>
  <mergeCells count="4">
    <mergeCell ref="A1:C1"/>
    <mergeCell ref="B3:C3"/>
    <mergeCell ref="B16:C16"/>
    <mergeCell ref="B10:C10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selection activeCell="A1" sqref="A1:I1"/>
    </sheetView>
  </sheetViews>
  <sheetFormatPr baseColWidth="10" defaultColWidth="8.6328125" defaultRowHeight="14.5"/>
  <cols>
    <col width="16" customWidth="1" min="1" max="1"/>
    <col width="14" customWidth="1" min="2" max="6"/>
    <col width="20" customWidth="1" min="7" max="7"/>
    <col width="22" customWidth="1" min="8" max="8"/>
    <col width="30" customWidth="1" min="9" max="9"/>
  </cols>
  <sheetData>
    <row r="1" ht="27.75" customHeight="1">
      <c r="A1" s="26" t="inlineStr">
        <is>
          <t>MEP Tracker — Registro de ciclo de vida</t>
        </is>
      </c>
    </row>
    <row r="2" ht="19.5" customHeight="1">
      <c r="A2" s="4" t="inlineStr">
        <is>
          <t>ID MEP</t>
        </is>
      </c>
      <c r="B2" s="4" t="inlineStr">
        <is>
          <t>Fecha request</t>
        </is>
      </c>
      <c r="C2" s="4" t="inlineStr">
        <is>
          <t>Fecha recepción</t>
        </is>
      </c>
      <c r="D2" s="4" t="inlineStr">
        <is>
          <t>Fecha SLA</t>
        </is>
      </c>
      <c r="E2" s="4" t="inlineStr">
        <is>
          <t>Fecha QA</t>
        </is>
      </c>
      <c r="F2" s="4" t="inlineStr">
        <is>
          <t>Estado actual</t>
        </is>
      </c>
      <c r="G2" s="4" t="inlineStr">
        <is>
          <t>Veredicto QA</t>
        </is>
      </c>
      <c r="H2" s="4" t="inlineStr">
        <is>
          <t>Ciclos corrección</t>
        </is>
      </c>
      <c r="I2" s="4" t="inlineStr">
        <is>
          <t>Observaciones</t>
        </is>
      </c>
    </row>
    <row r="3" ht="18" customHeight="1">
      <c r="A3" s="18" t="inlineStr">
        <is>
          <t>MEP_WINDBPVNB0002</t>
        </is>
      </c>
      <c r="B3" s="18" t="n"/>
      <c r="C3" s="18" t="inlineStr">
        <is>
          <t>2026-03-16</t>
        </is>
      </c>
      <c r="D3" s="18" t="n"/>
      <c r="E3" s="18" t="inlineStr">
        <is>
          <t>2026-03-20</t>
        </is>
      </c>
      <c r="F3" s="18" t="inlineStr">
        <is>
          <t>APROBADO CON OBSERVACIONES</t>
        </is>
      </c>
      <c r="G3" s="18" t="inlineStr">
        <is>
          <t>APROBADO CON OBSERVACIONES</t>
        </is>
      </c>
      <c r="H3" s="17" t="n">
        <v>0</v>
      </c>
      <c r="I3" s="17" t="inlineStr">
        <is>
          <t>Score 66/100 (C). | Credenciales hardcodeadas en stored procedures (passwords en texto plano) | Password expuesta en paquete SSIS de Multiconsulta (Telefonica.2021) | Subcarpeta G sin documentacion de lineage - marcada 'no aplica'</t>
        </is>
      </c>
    </row>
    <row r="4" ht="18" customHeight="1">
      <c r="A4" s="19" t="n"/>
      <c r="B4" s="19" t="n"/>
      <c r="C4" s="19" t="n"/>
      <c r="D4" s="19" t="n"/>
      <c r="E4" s="19" t="n"/>
      <c r="F4" s="19" t="n"/>
      <c r="G4" s="19" t="n"/>
      <c r="H4" s="20" t="n"/>
      <c r="I4" s="20" t="n"/>
    </row>
    <row r="5" ht="18" customHeight="1">
      <c r="A5" s="18" t="n"/>
      <c r="B5" s="18" t="n"/>
      <c r="C5" s="18" t="n"/>
      <c r="D5" s="18" t="n"/>
      <c r="E5" s="18" t="n"/>
      <c r="F5" s="18" t="n"/>
      <c r="G5" s="18" t="n"/>
      <c r="H5" s="17" t="n"/>
      <c r="I5" s="17" t="n"/>
    </row>
    <row r="6" ht="18" customHeight="1">
      <c r="A6" s="19" t="n"/>
      <c r="B6" s="19" t="n"/>
      <c r="C6" s="19" t="n"/>
      <c r="D6" s="19" t="n"/>
      <c r="E6" s="19" t="n"/>
      <c r="F6" s="19" t="n"/>
      <c r="G6" s="19" t="n"/>
      <c r="H6" s="20" t="n"/>
      <c r="I6" s="20" t="n"/>
    </row>
    <row r="7" ht="18" customHeight="1">
      <c r="A7" s="18" t="n"/>
      <c r="B7" s="18" t="n"/>
      <c r="C7" s="18" t="n"/>
      <c r="D7" s="18" t="n"/>
      <c r="E7" s="18" t="n"/>
      <c r="F7" s="18" t="n"/>
      <c r="G7" s="18" t="n"/>
      <c r="H7" s="17" t="n"/>
      <c r="I7" s="17" t="n"/>
    </row>
    <row r="8" ht="18" customHeight="1">
      <c r="A8" s="19" t="n"/>
      <c r="B8" s="19" t="n"/>
      <c r="C8" s="19" t="n"/>
      <c r="D8" s="19" t="n"/>
      <c r="E8" s="19" t="n"/>
      <c r="F8" s="19" t="n"/>
      <c r="G8" s="19" t="n"/>
      <c r="H8" s="20" t="n"/>
      <c r="I8" s="20" t="n"/>
    </row>
    <row r="9" ht="18" customHeight="1">
      <c r="A9" s="18" t="n"/>
      <c r="B9" s="18" t="n"/>
      <c r="C9" s="18" t="n"/>
      <c r="D9" s="18" t="n"/>
      <c r="E9" s="18" t="n"/>
      <c r="F9" s="18" t="n"/>
      <c r="G9" s="18" t="n"/>
      <c r="H9" s="17" t="n"/>
      <c r="I9" s="17" t="n"/>
    </row>
    <row r="10" ht="18" customHeight="1">
      <c r="A10" s="19" t="n"/>
      <c r="B10" s="19" t="n"/>
      <c r="C10" s="19" t="n"/>
      <c r="D10" s="19" t="n"/>
      <c r="E10" s="19" t="n"/>
      <c r="F10" s="19" t="n"/>
      <c r="G10" s="19" t="n"/>
      <c r="H10" s="20" t="n"/>
      <c r="I10" s="20" t="n"/>
    </row>
    <row r="11" ht="18" customHeight="1">
      <c r="A11" s="18" t="n"/>
      <c r="B11" s="18" t="n"/>
      <c r="C11" s="18" t="n"/>
      <c r="D11" s="18" t="n"/>
      <c r="E11" s="18" t="n"/>
      <c r="F11" s="18" t="n"/>
      <c r="G11" s="18" t="n"/>
      <c r="H11" s="17" t="n"/>
      <c r="I11" s="17" t="n"/>
    </row>
    <row r="12" ht="18" customHeight="1">
      <c r="A12" s="19" t="n"/>
      <c r="B12" s="19" t="n"/>
      <c r="C12" s="19" t="n"/>
      <c r="D12" s="19" t="n"/>
      <c r="E12" s="19" t="n"/>
      <c r="F12" s="19" t="n"/>
      <c r="G12" s="19" t="n"/>
      <c r="H12" s="20" t="n"/>
      <c r="I12" s="20" t="n"/>
    </row>
    <row r="13" ht="18" customHeight="1">
      <c r="A13" s="18" t="n"/>
      <c r="B13" s="18" t="n"/>
      <c r="C13" s="18" t="n"/>
      <c r="D13" s="18" t="n"/>
      <c r="E13" s="18" t="n"/>
      <c r="F13" s="18" t="n"/>
      <c r="G13" s="18" t="n"/>
      <c r="H13" s="17" t="n"/>
      <c r="I13" s="17" t="n"/>
    </row>
    <row r="14" ht="18" customHeight="1">
      <c r="A14" s="19" t="n"/>
      <c r="B14" s="19" t="n"/>
      <c r="C14" s="19" t="n"/>
      <c r="D14" s="19" t="n"/>
      <c r="E14" s="19" t="n"/>
      <c r="F14" s="19" t="n"/>
      <c r="G14" s="19" t="n"/>
      <c r="H14" s="20" t="n"/>
      <c r="I14" s="20" t="n"/>
    </row>
    <row r="15" ht="18" customHeight="1">
      <c r="A15" s="18" t="n"/>
      <c r="B15" s="18" t="n"/>
      <c r="C15" s="18" t="n"/>
      <c r="D15" s="18" t="n"/>
      <c r="E15" s="18" t="n"/>
      <c r="F15" s="18" t="n"/>
      <c r="G15" s="18" t="n"/>
      <c r="H15" s="17" t="n"/>
      <c r="I15" s="17" t="n"/>
    </row>
    <row r="16" ht="18" customHeight="1">
      <c r="A16" s="19" t="n"/>
      <c r="B16" s="19" t="n"/>
      <c r="C16" s="19" t="n"/>
      <c r="D16" s="19" t="n"/>
      <c r="E16" s="19" t="n"/>
      <c r="F16" s="19" t="n"/>
      <c r="G16" s="19" t="n"/>
      <c r="H16" s="20" t="n"/>
      <c r="I16" s="20" t="n"/>
    </row>
    <row r="17" ht="18" customHeight="1">
      <c r="A17" s="18" t="n"/>
      <c r="B17" s="18" t="n"/>
      <c r="C17" s="18" t="n"/>
      <c r="D17" s="18" t="n"/>
      <c r="E17" s="18" t="n"/>
      <c r="F17" s="18" t="n"/>
      <c r="G17" s="18" t="n"/>
      <c r="H17" s="17" t="n"/>
      <c r="I17" s="17" t="n"/>
    </row>
    <row r="18" ht="18" customHeight="1">
      <c r="A18" s="19" t="n"/>
      <c r="B18" s="19" t="n"/>
      <c r="C18" s="19" t="n"/>
      <c r="D18" s="19" t="n"/>
      <c r="E18" s="19" t="n"/>
      <c r="F18" s="19" t="n"/>
      <c r="G18" s="19" t="n"/>
      <c r="H18" s="20" t="n"/>
      <c r="I18" s="20" t="n"/>
    </row>
    <row r="19" ht="18" customHeight="1">
      <c r="A19" s="18" t="n"/>
      <c r="B19" s="18" t="n"/>
      <c r="C19" s="18" t="n"/>
      <c r="D19" s="18" t="n"/>
      <c r="E19" s="18" t="n"/>
      <c r="F19" s="18" t="n"/>
      <c r="G19" s="18" t="n"/>
      <c r="H19" s="17" t="n"/>
      <c r="I19" s="17" t="n"/>
    </row>
    <row r="20" ht="18" customHeight="1">
      <c r="A20" s="19" t="n"/>
      <c r="B20" s="19" t="n"/>
      <c r="C20" s="19" t="n"/>
      <c r="D20" s="19" t="n"/>
      <c r="E20" s="19" t="n"/>
      <c r="F20" s="19" t="n"/>
      <c r="G20" s="19" t="n"/>
      <c r="H20" s="20" t="n"/>
      <c r="I20" s="20" t="n"/>
    </row>
    <row r="21" ht="18" customHeight="1">
      <c r="A21" s="18" t="n"/>
      <c r="B21" s="18" t="n"/>
      <c r="C21" s="18" t="n"/>
      <c r="D21" s="18" t="n"/>
      <c r="E21" s="18" t="n"/>
      <c r="F21" s="18" t="n"/>
      <c r="G21" s="18" t="n"/>
      <c r="H21" s="17" t="n"/>
      <c r="I21" s="17" t="n"/>
    </row>
    <row r="22" ht="18" customHeight="1">
      <c r="A22" s="19" t="n"/>
      <c r="B22" s="19" t="n"/>
      <c r="C22" s="19" t="n"/>
      <c r="D22" s="19" t="n"/>
      <c r="E22" s="19" t="n"/>
      <c r="F22" s="19" t="n"/>
      <c r="G22" s="19" t="n"/>
      <c r="H22" s="20" t="n"/>
      <c r="I22" s="20" t="n"/>
    </row>
  </sheetData>
  <mergeCells count="1">
    <mergeCell ref="A1:I1"/>
  </mergeCells>
  <dataValidations count="2">
    <dataValidation sqref="F3:F22" showDropDown="0" showInputMessage="0" showErrorMessage="0" allowBlank="1" type="list">
      <formula1>"Requested,In-Progress,Received,QA,Accepted,QA-Failed,Ingested,Used"</formula1>
      <formula2>0</formula2>
    </dataValidation>
    <dataValidation sqref="G3:G22" showDropDown="0" showInputMessage="0" showErrorMessage="0" allowBlank="1" type="list">
      <formula1>"Accepted ✓,QA-Failed ✗,En revisión,Pendiente"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2026-03-18T19:48:03Z</dcterms:created>
  <dcterms:modified xmlns:dcterms="http://purl.org/dc/terms/" xmlns:xsi="http://www.w3.org/2001/XMLSchema-instance" xsi:type="dcterms:W3CDTF">2026-03-20T16:00:04Z</dcterms:modified>
  <cp:lastModifiedBy>Jytte Mork Coloma</cp:lastModifiedBy>
  <cp:revision>0</cp:revision>
</cp:coreProperties>
</file>