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9780" windowHeight="11370" tabRatio="500" firstSheet="0" activeTab="0" autoFilterDateGrouping="1"/>
  </bookViews>
  <sheets>
    <sheet xmlns:r="http://schemas.openxmlformats.org/officeDocument/2006/relationships" name="Checklist Q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MEP Tracker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1D4E89"/>
      <sz val="9"/>
    </font>
    <font>
      <name val="Arial"/>
      <family val="2"/>
      <color rgb="FF000000"/>
      <sz val="10"/>
    </font>
    <font>
      <name val="Arial"/>
      <family val="2"/>
      <b val="1"/>
      <color rgb="FF1D4E89"/>
      <sz val="10"/>
    </font>
    <font>
      <name val="Arial"/>
      <family val="2"/>
      <i val="1"/>
      <color rgb="FF444444"/>
      <sz val="9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i val="1"/>
      <color rgb="FF555555"/>
      <sz val="9"/>
    </font>
    <font>
      <name val="Arial"/>
      <family val="2"/>
      <color rgb="FF444444"/>
      <sz val="10"/>
    </font>
    <font>
      <name val="Arial"/>
      <family val="2"/>
      <color rgb="FF000000"/>
      <sz val="9"/>
    </font>
    <font>
      <name val="Arial"/>
      <family val="2"/>
      <b val="1"/>
      <color rgb="FFFFFFFF"/>
      <sz val="13"/>
    </font>
    <font>
      <name val="Arial"/>
      <family val="2"/>
      <b val="1"/>
      <color rgb="FF0F3460"/>
      <sz val="11"/>
    </font>
    <font>
      <name val="Arial"/>
      <family val="2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0F3460"/>
        <bgColor rgb="FF1D4E89"/>
      </patternFill>
    </fill>
    <fill>
      <patternFill patternType="solid">
        <fgColor rgb="FFEEF4FB"/>
        <bgColor rgb="FFF7FBFF"/>
      </patternFill>
    </fill>
    <fill>
      <patternFill patternType="solid">
        <fgColor rgb="FFFFFFFF"/>
        <bgColor rgb="FFF7FBFF"/>
      </patternFill>
    </fill>
    <fill>
      <patternFill patternType="solid">
        <fgColor rgb="FF1D4E89"/>
        <bgColor rgb="FF0F3460"/>
      </patternFill>
    </fill>
    <fill>
      <patternFill patternType="solid">
        <fgColor rgb="FFD6E4F0"/>
        <bgColor rgb="FFE2EFDA"/>
      </patternFill>
    </fill>
    <fill>
      <patternFill patternType="solid">
        <fgColor rgb="FFF7FBFF"/>
        <bgColor rgb="FFFFFFFF"/>
      </patternFill>
    </fill>
    <fill>
      <patternFill patternType="solid">
        <fgColor rgb="FFFFF2CC"/>
        <bgColor rgb="FFFDECEA"/>
      </patternFill>
    </fill>
  </fills>
  <borders count="9">
    <border>
      <left/>
      <right/>
      <top/>
      <bottom/>
      <diagonal/>
    </border>
    <border>
      <left/>
      <right/>
      <top/>
      <bottom style="thin">
        <color rgb="FF1D4E89"/>
      </bottom>
      <diagonal/>
    </border>
    <border>
      <left style="thin">
        <color rgb="FF1D4E89"/>
      </left>
      <right style="thin">
        <color rgb="FF1D4E89"/>
      </right>
      <top style="thin">
        <color rgb="FF1D4E89"/>
      </top>
      <bottom style="thin">
        <color rgb="FF1D4E8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/>
  </cellStyles>
  <dxfs count="24"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EF4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DECEA"/>
      <rgbColor rgb="FFF7FB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460"/>
      <rgbColor rgb="FF339966"/>
      <rgbColor rgb="FF003300"/>
      <rgbColor rgb="FF333300"/>
      <rgbColor rgb="FF993300"/>
      <rgbColor rgb="FF993366"/>
      <rgbColor rgb="FF1D4E8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Normal="100" workbookViewId="0">
      <pane ySplit="5" topLeftCell="A11" activePane="bottomLeft" state="frozen"/>
      <selection pane="bottomLeft" activeCell="B15" sqref="B15"/>
    </sheetView>
  </sheetViews>
  <sheetFormatPr baseColWidth="10" defaultColWidth="8.6328125" defaultRowHeight="14.5"/>
  <cols>
    <col width="5" customWidth="1" min="1" max="1"/>
    <col width="46" customWidth="1" min="2" max="2"/>
    <col width="38" customWidth="1" min="3" max="3"/>
    <col width="14" customWidth="1" min="4" max="4"/>
    <col width="36" customWidth="1" min="5" max="5"/>
    <col width="16" customWidth="1" min="6" max="6"/>
  </cols>
  <sheetData>
    <row r="1" ht="33.75" customHeight="1">
      <c r="A1" s="22" t="inlineStr">
        <is>
          <t>Checklist de QA Documental — MEP</t>
        </is>
      </c>
    </row>
    <row r="2" ht="19.5" customHeight="1">
      <c r="A2" s="1" t="inlineStr">
        <is>
          <t>ID del MEP:</t>
        </is>
      </c>
      <c r="B2" s="2" t="inlineStr">
        <is>
          <t>MEP_WINDBTVNB0001</t>
        </is>
      </c>
      <c r="C2" s="1" t="inlineStr">
        <is>
          <t>Revisor (Stefanini):</t>
        </is>
      </c>
      <c r="D2" s="2" t="inlineStr">
        <is>
          <t>QA Automatizado (Claude + Scanner)</t>
        </is>
      </c>
      <c r="E2" s="1" t="inlineStr">
        <is>
          <t>Fecha recepción:</t>
        </is>
      </c>
      <c r="F2" s="2" t="inlineStr">
        <is>
          <t>2026-03-09</t>
        </is>
      </c>
    </row>
    <row r="3" ht="19.5" customHeight="1">
      <c r="A3" s="1" t="inlineStr">
        <is>
          <t>Fecha SLA (24h háb.):</t>
        </is>
      </c>
      <c r="B3" s="2" t="inlineStr">
        <is>
          <t>2026-03-10</t>
        </is>
      </c>
      <c r="C3" s="1" t="inlineStr">
        <is>
          <t>Activos VALTX:</t>
        </is>
      </c>
      <c r="D3" s="2" t="inlineStr">
        <is>
          <t>No</t>
        </is>
      </c>
      <c r="E3" s="1" t="inlineStr">
        <is>
          <t>Veredicto final:</t>
        </is>
      </c>
      <c r="F3" s="3">
        <f>IF(COUNTIF(D6:D100,"QA-Failed")&gt;0,"QA-Failed ✗",IF(COUNTA(D6:D100)=0,"Pendiente",IF(COUNTIF(D6:D100,"OK")=SUMPRODUCT((D6:D100&lt;&gt;"")*1),"Accepted ✓","En revisión")))</f>
        <v/>
      </c>
    </row>
    <row r="4" ht="18" customHeight="1">
      <c r="A4" s="23">
        <f>COUNTIF(D6:D100,"OK")&amp;" / "&amp;SUMPRODUCT((D6:D100&lt;&gt;"")*1)&amp;" ítems completados  |  QA-Failed: "&amp;COUNTIF(D6:D100,"QA-Failed")&amp;"  |  Pendiente: "&amp;COUNTIF(D6:D100,"Pendiente")</f>
        <v/>
      </c>
    </row>
    <row r="5" ht="21.75" customHeight="1">
      <c r="A5" s="4" t="inlineStr">
        <is>
          <t>#</t>
        </is>
      </c>
      <c r="B5" s="4" t="inlineStr">
        <is>
          <t>Ítem de verificación</t>
        </is>
      </c>
      <c r="C5" s="4" t="inlineStr">
        <is>
          <t>Criterio / Nota</t>
        </is>
      </c>
      <c r="D5" s="4" t="inlineStr">
        <is>
          <t>Estado</t>
        </is>
      </c>
      <c r="E5" s="4" t="inlineStr">
        <is>
          <t>Observaciones</t>
        </is>
      </c>
      <c r="F5" s="4" t="inlineStr">
        <is>
          <t>Responsable</t>
        </is>
      </c>
    </row>
    <row r="6" ht="19.5" customHeight="1">
      <c r="A6" s="21" t="inlineStr">
        <is>
          <t>1. Completitud de artefactos</t>
        </is>
      </c>
      <c r="B6" s="27" t="n"/>
      <c r="C6" s="27" t="n"/>
      <c r="D6" s="27" t="n"/>
      <c r="E6" s="27" t="n"/>
      <c r="F6" s="28" t="n"/>
    </row>
    <row r="7" ht="36" customHeight="1">
      <c r="A7" s="5" t="inlineStr">
        <is>
          <t>1.1</t>
        </is>
      </c>
      <c r="B7" s="6" t="inlineStr">
        <is>
          <t>Scripts de ejecución presentes</t>
        </is>
      </c>
      <c r="C7" s="7" t="inlineStr">
        <is>
          <t>Específicos por motor y versión de BD (Oracle, MSSQL, PostgreSQL, etc.)</t>
        </is>
      </c>
      <c r="D7" s="8" t="inlineStr">
        <is>
          <t>OK</t>
        </is>
      </c>
      <c r="E7" s="9" t="inlineStr">
        <is>
          <t>Ficha funcional A01 presente (17 KB .docx). Verificar contenido manualmente.</t>
        </is>
      </c>
      <c r="F7" s="10" t="inlineStr">
        <is>
          <t>QA Auto</t>
        </is>
      </c>
    </row>
    <row r="8" ht="36" customHeight="1">
      <c r="A8" s="11" t="inlineStr">
        <is>
          <t>1.2</t>
        </is>
      </c>
      <c r="B8" s="12" t="inlineStr">
        <is>
          <t>README de ejecución incluido</t>
        </is>
      </c>
      <c r="C8" s="13" t="inlineStr">
        <is>
          <t>Instrucciones claras para el DBA / focal point de Integratel</t>
        </is>
      </c>
      <c r="D8" s="8" t="inlineStr">
        <is>
          <t>OK</t>
        </is>
      </c>
      <c r="E8" s="14" t="inlineStr">
        <is>
          <t>8 de 8 subcarpetas presentes (A-H). Estructura MEP completa.</t>
        </is>
      </c>
      <c r="F8" s="15" t="inlineStr">
        <is>
          <t>QA Auto</t>
        </is>
      </c>
    </row>
    <row r="9" ht="36" customHeight="1">
      <c r="A9" s="5" t="inlineStr">
        <is>
          <t>1.3</t>
        </is>
      </c>
      <c r="B9" s="6" t="inlineStr">
        <is>
          <t>Checklist de validación adjunto</t>
        </is>
      </c>
      <c r="C9" s="7" t="inlineStr">
        <is>
          <t>Checklist firmado o completado por Integratel</t>
        </is>
      </c>
      <c r="D9" s="8" t="inlineStr">
        <is>
          <t>OK</t>
        </is>
      </c>
      <c r="E9" s="9" t="inlineStr">
        <is>
          <t>872 archivos, 52.49 MB. Volumen consistente con servidor MSSQL de 25 BDs.</t>
        </is>
      </c>
      <c r="F9" s="10" t="inlineStr">
        <is>
          <t>QA Auto</t>
        </is>
      </c>
    </row>
    <row r="10" ht="36" customHeight="1">
      <c r="A10" s="11" t="inlineStr">
        <is>
          <t>1.4</t>
        </is>
      </c>
      <c r="B10" s="12" t="inlineStr">
        <is>
          <t>Deadline del MEP declarado</t>
        </is>
      </c>
      <c r="C10" s="13" t="inlineStr">
        <is>
          <t>Fecha esperada de entrega indicada por Stefanini en el paquete</t>
        </is>
      </c>
      <c r="D10" s="8" t="inlineStr">
        <is>
          <t>PARCIAL</t>
        </is>
      </c>
      <c r="E10" s="14" t="inlineStr">
        <is>
          <t>B_Software contiene B10-B13 completos. Falta validar contenido xlsx de E01, F01, H01 manualmente.</t>
        </is>
      </c>
      <c r="F10" s="15" t="inlineStr">
        <is>
          <t>QA Auto</t>
        </is>
      </c>
    </row>
    <row r="11" ht="36" customHeight="1">
      <c r="A11" s="5" t="inlineStr">
        <is>
          <t>1.5</t>
        </is>
      </c>
      <c r="B11" s="6" t="inlineStr">
        <is>
          <t>Outputs del servidor adjuntos</t>
        </is>
      </c>
      <c r="C11" s="7" t="inlineStr">
        <is>
          <t>Resultados recopilados por el DBA en estado In-Progress</t>
        </is>
      </c>
      <c r="D11" s="8" t="inlineStr">
        <is>
          <t>OK</t>
        </is>
      </c>
      <c r="E11" s="9" t="inlineStr">
        <is>
          <t>Motor MSSQL detectado con alta confianza. SQL Server 2014 SP3 Enterprise Edition.</t>
        </is>
      </c>
      <c r="F11" s="10" t="inlineStr">
        <is>
          <t>QA Auto</t>
        </is>
      </c>
    </row>
    <row r="12" ht="19.5" customHeight="1">
      <c r="A12" s="21" t="inlineStr">
        <is>
          <t>2. Validez de scripts</t>
        </is>
      </c>
      <c r="B12" s="27" t="n"/>
      <c r="C12" s="27" t="n"/>
      <c r="D12" s="27" t="n"/>
      <c r="E12" s="27" t="n"/>
      <c r="F12" s="28" t="n"/>
    </row>
    <row r="13" ht="36" customHeight="1">
      <c r="A13" s="5" t="inlineStr">
        <is>
          <t>2.1</t>
        </is>
      </c>
      <c r="B13" s="6" t="inlineStr">
        <is>
          <t>Motor de BD y versión identificados</t>
        </is>
      </c>
      <c r="C13" s="7" t="inlineStr">
        <is>
          <t>Verificar que el script corresponde al motor declarado en el README</t>
        </is>
      </c>
      <c r="D13" s="8" t="inlineStr">
        <is>
          <t>OK</t>
        </is>
      </c>
      <c r="E13" s="9" t="inlineStr">
        <is>
          <t>25 bases de datos documentadas con diccionario completo (S01-S14 por esquema).</t>
        </is>
      </c>
      <c r="F13" s="10" t="inlineStr">
        <is>
          <t>QA Auto</t>
        </is>
      </c>
    </row>
    <row r="14" ht="36" customHeight="1">
      <c r="A14" s="11" t="inlineStr">
        <is>
          <t>2.2</t>
        </is>
      </c>
      <c r="B14" s="12" t="inlineStr">
        <is>
          <t>Scripts sin errores de sintaxis</t>
        </is>
      </c>
      <c r="C14" s="13" t="inlineStr">
        <is>
          <t>Revisión estática del código SQL / DDL / DML</t>
        </is>
      </c>
      <c r="D14" s="8" t="inlineStr">
        <is>
          <t>OK</t>
        </is>
      </c>
      <c r="E14" s="14" t="inlineStr">
        <is>
          <t>854 tablas, 250 vistas, 291 SPs, 39 funciones documentados via 04_object_summary.csv.</t>
        </is>
      </c>
      <c r="F14" s="15" t="inlineStr">
        <is>
          <t>QA Auto</t>
        </is>
      </c>
    </row>
    <row r="15" ht="36" customHeight="1">
      <c r="A15" s="5" t="inlineStr">
        <is>
          <t>2.3</t>
        </is>
      </c>
      <c r="B15" s="6" t="inlineStr">
        <is>
          <t>Sin instrucciones destructivas no documentadas</t>
        </is>
      </c>
      <c r="C15" s="7" t="inlineStr">
        <is>
          <t>DROP, TRUNCATE o DELETE sin justificación explícita son bloqueantes</t>
        </is>
      </c>
      <c r="D15" s="8" t="inlineStr">
        <is>
          <t>PARCIAL</t>
        </is>
      </c>
      <c r="E15" s="9" t="inlineStr">
        <is>
          <t>Se detectaron tablas sin primary key en multiples BDs (~681 tablas). Documentado en S03_tables_no_pk.csv.</t>
        </is>
      </c>
      <c r="F15" s="10" t="inlineStr">
        <is>
          <t>QA Auto</t>
        </is>
      </c>
    </row>
    <row r="16" ht="36" customHeight="1">
      <c r="A16" s="11" t="inlineStr">
        <is>
          <t>2.4</t>
        </is>
      </c>
      <c r="B16" s="12" t="inlineStr">
        <is>
          <t>Parametrización correcta</t>
        </is>
      </c>
      <c r="C16" s="13" t="inlineStr">
        <is>
          <t>Sin valores hardcoded que impidan la portabilidad (schemas, usuarios, paths)</t>
        </is>
      </c>
      <c r="D16" s="8" t="inlineStr">
        <is>
          <t>PARCIAL</t>
        </is>
      </c>
      <c r="E16" s="14" t="inlineStr">
        <is>
          <t>S12_extended_properties presente pero sin verificar cobertura de comentarios/descripciones.</t>
        </is>
      </c>
      <c r="F16" s="15" t="inlineStr">
        <is>
          <t>QA Auto</t>
        </is>
      </c>
    </row>
    <row r="17" ht="19.5" customHeight="1">
      <c r="A17" s="21" t="inlineStr">
        <is>
          <t>3. Consistencia de schemas</t>
        </is>
      </c>
      <c r="B17" s="27" t="n"/>
      <c r="C17" s="27" t="n"/>
      <c r="D17" s="27" t="n"/>
      <c r="E17" s="27" t="n"/>
      <c r="F17" s="28" t="n"/>
    </row>
    <row r="18" ht="36" customHeight="1">
      <c r="A18" s="5" t="inlineStr">
        <is>
          <t>3.1</t>
        </is>
      </c>
      <c r="B18" s="6" t="inlineStr">
        <is>
          <t>Nombres de schemas coinciden con inventario</t>
        </is>
      </c>
      <c r="C18" s="7" t="inlineStr">
        <is>
          <t>Comparar contra MEP Tracker y activos existentes en OpenMetadata</t>
        </is>
      </c>
      <c r="D18" s="8" t="inlineStr">
        <is>
          <t>OK</t>
        </is>
      </c>
      <c r="E18" s="9" t="inlineStr">
        <is>
          <t>43 SQL Agent Jobs documentados (28 habilitados, 15 deshabilitados) en 03_agent_jobs.csv.</t>
        </is>
      </c>
      <c r="F18" s="10" t="inlineStr">
        <is>
          <t>QA Auto</t>
        </is>
      </c>
    </row>
    <row r="19" ht="36" customHeight="1">
      <c r="A19" s="11" t="inlineStr">
        <is>
          <t>3.2</t>
        </is>
      </c>
      <c r="B19" s="12" t="inlineStr">
        <is>
          <t>Convenciones de nomenclatura respetadas</t>
        </is>
      </c>
      <c r="C19" s="13" t="inlineStr">
        <is>
          <t>Tablas, columnas y objetos siguen el estándar acordado</t>
        </is>
      </c>
      <c r="D19" s="8" t="inlineStr">
        <is>
          <t>OK</t>
        </is>
      </c>
      <c r="E19" s="14" t="inlineStr">
        <is>
          <t>42 proyectos SSISDB con 109 paquetes DTSX exportados y analizados.</t>
        </is>
      </c>
      <c r="F19" s="15" t="inlineStr">
        <is>
          <t>QA Auto</t>
        </is>
      </c>
    </row>
    <row r="20" ht="36" customHeight="1">
      <c r="A20" s="5" t="inlineStr">
        <is>
          <t>3.3</t>
        </is>
      </c>
      <c r="B20" s="6" t="inlineStr">
        <is>
          <t>Sin duplicidad de objetos ya ingresados</t>
        </is>
      </c>
      <c r="C20" s="7" t="inlineStr">
        <is>
          <t>Validar contra assets existentes en OpenMetadata</t>
        </is>
      </c>
      <c r="D20" s="8" t="inlineStr">
        <is>
          <t>OK</t>
        </is>
      </c>
      <c r="E20" s="9" t="inlineStr">
        <is>
          <t>Scheduled Tasks exportadas en D40_scheduled_tasks.csv.</t>
        </is>
      </c>
      <c r="F20" s="10" t="inlineStr">
        <is>
          <t>QA Auto</t>
        </is>
      </c>
    </row>
    <row r="21" ht="36" customHeight="1">
      <c r="A21" s="11" t="inlineStr">
        <is>
          <t>3.4</t>
        </is>
      </c>
      <c r="B21" s="12" t="inlineStr">
        <is>
          <t>Tipos de datos coherentes y declarados</t>
        </is>
      </c>
      <c r="C21" s="13" t="inlineStr">
        <is>
          <t>Columnas críticas con tipo explícito en README o script</t>
        </is>
      </c>
      <c r="D21" s="8" t="inlineStr">
        <is>
          <t>OK</t>
        </is>
      </c>
      <c r="E21" s="14" t="inlineStr">
        <is>
          <t>Job steps con subsistemas SSIS, TSQL documentados. Comandos incluidos en CSV.</t>
        </is>
      </c>
      <c r="F21" s="15" t="inlineStr">
        <is>
          <t>QA Auto</t>
        </is>
      </c>
    </row>
    <row r="22" ht="19.5" customHeight="1">
      <c r="A22" s="21" t="inlineStr">
        <is>
          <t>4. Coherencia de volumetrías</t>
        </is>
      </c>
      <c r="B22" s="27" t="n"/>
      <c r="C22" s="27" t="n"/>
      <c r="D22" s="27" t="n"/>
      <c r="E22" s="27" t="n"/>
      <c r="F22" s="28" t="n"/>
    </row>
    <row r="23" ht="36" customHeight="1">
      <c r="A23" s="5" t="inlineStr">
        <is>
          <t>4.1</t>
        </is>
      </c>
      <c r="B23" s="6" t="inlineStr">
        <is>
          <t>Volumetrías declaradas en el paquete MEP</t>
        </is>
      </c>
      <c r="C23" s="7" t="inlineStr">
        <is>
          <t>Filas estimadas, tamaño de tabla u otro indicador de volumen</t>
        </is>
      </c>
      <c r="D23" s="8" t="inlineStr">
        <is>
          <t>PARCIAL</t>
        </is>
      </c>
      <c r="E23" s="9" t="inlineStr">
        <is>
          <t>6 linked servers documentados en 02_linked_servers.csv. Conexiones FTP en paquetes SSIS. xlsx E01/E02 presente pero no validable automaticamente.</t>
        </is>
      </c>
      <c r="F23" s="10" t="inlineStr">
        <is>
          <t>QA Auto</t>
        </is>
      </c>
    </row>
    <row r="24" ht="36" customHeight="1">
      <c r="A24" s="11" t="inlineStr">
        <is>
          <t>4.2</t>
        </is>
      </c>
      <c r="B24" s="12" t="inlineStr">
        <is>
          <t>Volumetrías consistentes con outputs del servidor</t>
        </is>
      </c>
      <c r="C24" s="13" t="inlineStr">
        <is>
          <t>Los conteos del DBA no deben diferir significativamente</t>
        </is>
      </c>
      <c r="D24" s="8" t="inlineStr">
        <is>
          <t>NO APLICA</t>
        </is>
      </c>
      <c r="E24" s="14" t="inlineStr">
        <is>
          <t>No se identifican APIs REST/SOAP. No aplica.</t>
        </is>
      </c>
      <c r="F24" s="15" t="inlineStr">
        <is>
          <t>QA Auto</t>
        </is>
      </c>
    </row>
    <row r="25" ht="36" customHeight="1">
      <c r="A25" s="5" t="inlineStr">
        <is>
          <t>4.3</t>
        </is>
      </c>
      <c r="B25" s="6" t="inlineStr">
        <is>
          <t>Cardinalidades de relaciones documentadas</t>
        </is>
      </c>
      <c r="C25" s="7" t="inlineStr">
        <is>
          <t>Especialmente para tablas de hecho / dimensión</t>
        </is>
      </c>
      <c r="D25" s="8" t="inlineStr">
        <is>
          <t>OK</t>
        </is>
      </c>
      <c r="E25" s="9" t="inlineStr">
        <is>
          <t>Connection strings de SSIS extraidos. Data sources identificados: 10.226.3.96, 172.30.249.166, FTP 10.4.3.226/10.4.40.49.</t>
        </is>
      </c>
      <c r="F25" s="10" t="inlineStr">
        <is>
          <t>QA Auto</t>
        </is>
      </c>
    </row>
    <row r="26" ht="19.5" customHeight="1">
      <c r="A26" s="21" t="inlineStr">
        <is>
          <t>5. Preparación para OpenMetadata</t>
        </is>
      </c>
      <c r="B26" s="27" t="n"/>
      <c r="C26" s="27" t="n"/>
      <c r="D26" s="27" t="n"/>
      <c r="E26" s="27" t="n"/>
      <c r="F26" s="28" t="n"/>
    </row>
    <row r="27" ht="36" customHeight="1">
      <c r="A27" s="5" t="inlineStr">
        <is>
          <t>5.1</t>
        </is>
      </c>
      <c r="B27" s="6" t="inlineStr">
        <is>
          <t>Ownership del asset identificado</t>
        </is>
      </c>
      <c r="C27" s="7" t="inlineStr">
        <is>
          <t>Responsable técnico y de negocio declarados</t>
        </is>
      </c>
      <c r="D27" s="8" t="inlineStr">
        <is>
          <t>OK</t>
        </is>
      </c>
      <c r="E27" s="9" t="inlineStr">
        <is>
          <t>F01_Reportes_BI presente en xlsx. No validable automaticamente.</t>
        </is>
      </c>
      <c r="F27" s="10" t="inlineStr">
        <is>
          <t>QA Auto</t>
        </is>
      </c>
    </row>
    <row r="28" ht="36" customHeight="1">
      <c r="A28" s="11" t="inlineStr">
        <is>
          <t>5.2</t>
        </is>
      </c>
      <c r="B28" s="12" t="inlineStr">
        <is>
          <t>Tags y clasificaciones propuestos</t>
        </is>
      </c>
      <c r="C28" s="13" t="inlineStr">
        <is>
          <t>Al menos dominio de negocio y clasificación de sensibilidad</t>
        </is>
      </c>
      <c r="D28" s="8" t="inlineStr">
        <is>
          <t>FALTA</t>
        </is>
      </c>
      <c r="E28" s="14" t="inlineStr">
        <is>
          <t>G_Lineage vacio ('no aplica.txt'). Falta documentacion de linaje para 25 BDs.</t>
        </is>
      </c>
      <c r="F28" s="15" t="inlineStr">
        <is>
          <t>QA Auto</t>
        </is>
      </c>
    </row>
    <row r="29" ht="36" customHeight="1">
      <c r="A29" s="5" t="inlineStr">
        <is>
          <t>5.3</t>
        </is>
      </c>
      <c r="B29" s="6" t="inlineStr">
        <is>
          <t>Lineage de origen documentado</t>
        </is>
      </c>
      <c r="C29" s="7" t="inlineStr">
        <is>
          <t>Fuente del dato: sistema origen, integración, batch, etc.</t>
        </is>
      </c>
      <c r="D29" s="8" t="inlineStr">
        <is>
          <t>PARCIAL</t>
        </is>
      </c>
      <c r="E29" s="9" t="inlineStr">
        <is>
          <t>Dependencias parcialmente documentadas via S13_dependencies.csv por BD. Falta diagrama global.</t>
        </is>
      </c>
      <c r="F29" s="10" t="inlineStr">
        <is>
          <t>QA Auto</t>
        </is>
      </c>
    </row>
    <row r="30" ht="36" customHeight="1">
      <c r="A30" s="11" t="inlineStr">
        <is>
          <t>5.4</t>
        </is>
      </c>
      <c r="B30" s="12" t="inlineStr">
        <is>
          <t>Conectores necesarios identificados</t>
        </is>
      </c>
      <c r="C30" s="13" t="inlineStr">
        <is>
          <t>El equipo de ingesta sabe qué conector configurar en OM</t>
        </is>
      </c>
      <c r="D30" s="8" t="inlineStr">
        <is>
          <t>PARCIAL</t>
        </is>
      </c>
      <c r="E30" s="14" t="inlineStr">
        <is>
          <t>Flujos de datos entre servidores 165/166/167/227 evidenciados en jobs pero no diagramados.</t>
        </is>
      </c>
      <c r="F30" s="15" t="inlineStr">
        <is>
          <t>QA Auto</t>
        </is>
      </c>
    </row>
    <row r="31" ht="19.5" customHeight="1">
      <c r="A31" s="21" t="inlineStr">
        <is>
          <t>6. Coordinación y trazabilidad</t>
        </is>
      </c>
      <c r="B31" s="27" t="n"/>
      <c r="C31" s="27" t="n"/>
      <c r="D31" s="27" t="n"/>
      <c r="E31" s="27" t="n"/>
      <c r="F31" s="28" t="n"/>
    </row>
    <row r="32" ht="36" customHeight="1">
      <c r="A32" s="5" t="inlineStr">
        <is>
          <t>6.1</t>
        </is>
      </c>
      <c r="B32" s="6" t="inlineStr">
        <is>
          <t>Activos VALTX gestionados por SPOC de Integratel</t>
        </is>
      </c>
      <c r="C32" s="7" t="inlineStr">
        <is>
          <t>Verificar que la coordinación siguió el canal correcto</t>
        </is>
      </c>
      <c r="D32" s="8" t="inlineStr">
        <is>
          <t>FAIL</t>
        </is>
      </c>
      <c r="E32" s="9" t="inlineStr">
        <is>
          <t>15 hallazgos de seguridad: 7 contrasenas /DECRYPT 123 en SSIS jobs + 9 connection strings. Contrasenas triviales expuestas.</t>
        </is>
      </c>
      <c r="F32" s="10" t="inlineStr">
        <is>
          <t>QA Auto</t>
        </is>
      </c>
    </row>
    <row r="33" ht="36" customHeight="1">
      <c r="A33" s="11" t="inlineStr">
        <is>
          <t>6.2</t>
        </is>
      </c>
      <c r="B33" s="12" t="inlineStr">
        <is>
          <t>Fecha de recepción registrada en MEP Tracker</t>
        </is>
      </c>
      <c r="C33" s="13" t="inlineStr">
        <is>
          <t>Campo obligatorio para el SLA de QA (24h hábiles)</t>
        </is>
      </c>
      <c r="D33" s="8" t="inlineStr">
        <is>
          <t>PARCIAL</t>
        </is>
      </c>
      <c r="E33" s="14" t="inlineStr">
        <is>
          <t>95 logins documentados en 04_logins.csv. H01_Accesos presente pero no validado. 27 cuentas deshabilitadas.</t>
        </is>
      </c>
      <c r="F33" s="15" t="inlineStr">
        <is>
          <t>QA Auto</t>
        </is>
      </c>
    </row>
    <row r="34" ht="36" customHeight="1">
      <c r="A34" s="5" t="inlineStr">
        <is>
          <t>6.3</t>
        </is>
      </c>
      <c r="B34" s="6" t="inlineStr">
        <is>
          <t>Canal de entrega acordado respetado</t>
        </is>
      </c>
      <c r="C34" s="7" t="inlineStr">
        <is>
          <t>SharePoint u otro canal autorizado — no se aceptan canales ad-hoc</t>
        </is>
      </c>
      <c r="D34" s="8" t="inlineStr">
        <is>
          <t>PARCIAL</t>
        </is>
      </c>
      <c r="E34" s="9" t="inlineStr">
        <is>
          <t>Permisos por BD documentados en 03_permissions.csv y 02_role_members.csv. Cobertura parcial de revision.</t>
        </is>
      </c>
      <c r="F34" s="10" t="inlineStr">
        <is>
          <t>QA Auto</t>
        </is>
      </c>
    </row>
  </sheetData>
  <mergeCells count="8">
    <mergeCell ref="A1:F1"/>
    <mergeCell ref="A31:F31"/>
    <mergeCell ref="A6:F6"/>
    <mergeCell ref="A22:F22"/>
    <mergeCell ref="A17:F17"/>
    <mergeCell ref="A12:F12"/>
    <mergeCell ref="A4:F4"/>
    <mergeCell ref="A26:F26"/>
  </mergeCells>
  <conditionalFormatting sqref="B7:C11">
    <cfRule type="expression" priority="4" dxfId="13">
      <formula>$D7="OK"</formula>
    </cfRule>
    <cfRule type="expression" priority="5" dxfId="12">
      <formula>$D7="QA-Failed"</formula>
    </cfRule>
  </conditionalFormatting>
  <conditionalFormatting sqref="B13:C16">
    <cfRule type="expression" priority="24" dxfId="13">
      <formula>$D13="OK"</formula>
    </cfRule>
    <cfRule type="expression" priority="25" dxfId="12">
      <formula>$D13="QA-Failed"</formula>
    </cfRule>
  </conditionalFormatting>
  <conditionalFormatting sqref="B18:C21">
    <cfRule type="expression" priority="40" dxfId="13">
      <formula>$D18="OK"</formula>
    </cfRule>
    <cfRule type="expression" priority="41" dxfId="12">
      <formula>$D18="QA-Failed"</formula>
    </cfRule>
  </conditionalFormatting>
  <conditionalFormatting sqref="B23:C25">
    <cfRule type="expression" priority="56" dxfId="13">
      <formula>$D23="OK"</formula>
    </cfRule>
    <cfRule type="expression" priority="57" dxfId="12">
      <formula>$D23="QA-Failed"</formula>
    </cfRule>
  </conditionalFormatting>
  <conditionalFormatting sqref="B27:C30">
    <cfRule type="expression" priority="68" dxfId="13">
      <formula>$D27="OK"</formula>
    </cfRule>
    <cfRule type="expression" priority="69" dxfId="12">
      <formula>$D27="QA-Failed"</formula>
    </cfRule>
  </conditionalFormatting>
  <conditionalFormatting sqref="B32:C34">
    <cfRule type="expression" priority="84" dxfId="13">
      <formula>$D32="OK"</formula>
    </cfRule>
    <cfRule type="expression" priority="85" dxfId="12">
      <formula>$D32="QA-Failed"</formula>
    </cfRule>
  </conditionalFormatting>
  <conditionalFormatting sqref="D7:D11">
    <cfRule type="cellIs" priority="2" operator="equal" dxfId="1">
      <formula>"OK"</formula>
    </cfRule>
    <cfRule type="cellIs" priority="3" operator="equal" dxfId="0">
      <formula>"QA-Failed"</formula>
    </cfRule>
  </conditionalFormatting>
  <conditionalFormatting sqref="D13:D16">
    <cfRule type="cellIs" priority="22" operator="equal" dxfId="1">
      <formula>"OK"</formula>
    </cfRule>
    <cfRule type="cellIs" priority="23" operator="equal" dxfId="0">
      <formula>"QA-Failed"</formula>
    </cfRule>
  </conditionalFormatting>
  <conditionalFormatting sqref="D18:D21">
    <cfRule type="cellIs" priority="38" operator="equal" dxfId="1">
      <formula>"OK"</formula>
    </cfRule>
    <cfRule type="cellIs" priority="39" operator="equal" dxfId="0">
      <formula>"QA-Failed"</formula>
    </cfRule>
  </conditionalFormatting>
  <conditionalFormatting sqref="D23:D25">
    <cfRule type="cellIs" priority="54" operator="equal" dxfId="1">
      <formula>"OK"</formula>
    </cfRule>
    <cfRule type="cellIs" priority="55" operator="equal" dxfId="0">
      <formula>"QA-Failed"</formula>
    </cfRule>
  </conditionalFormatting>
  <conditionalFormatting sqref="D27:D30">
    <cfRule type="cellIs" priority="66" operator="equal" dxfId="1">
      <formula>"OK"</formula>
    </cfRule>
    <cfRule type="cellIs" priority="67" operator="equal" dxfId="0">
      <formula>"QA-Failed"</formula>
    </cfRule>
  </conditionalFormatting>
  <conditionalFormatting sqref="D32:D34">
    <cfRule type="cellIs" priority="82" operator="equal" dxfId="1">
      <formula>"OK"</formula>
    </cfRule>
    <cfRule type="cellIs" priority="83" operator="equal" dxfId="0">
      <formula>"QA-Failed"</formula>
    </cfRule>
  </conditionalFormatting>
  <dataValidations count="2">
    <dataValidation sqref="D8:D11 D13:D16 D18:D21 D23:D25 D27:D30 D32:D34" showDropDown="0" showInputMessage="0" showErrorMessage="0" allowBlank="1" promptTitle="Estado" prompt="Selecciona el estado del ítem" type="list">
      <formula1>"OK,QA-Failed,Pendiente,N/A"</formula1>
      <formula2>0</formula2>
    </dataValidation>
    <dataValidation sqref="D7" showDropDown="0" showInputMessage="0" showErrorMessage="0" allowBlank="1" promptTitle="Estado" prompt="Selecciona el estado del ítem" type="list">
      <formula1>"OK,QA-Failed,Pendiente,N/A"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Normal="100" workbookViewId="0">
      <selection activeCell="A1" sqref="A1:C1"/>
    </sheetView>
  </sheetViews>
  <sheetFormatPr baseColWidth="10" defaultColWidth="8.6328125" defaultRowHeight="14.5"/>
  <cols>
    <col width="3" customWidth="1" min="1" max="1"/>
    <col width="22" customWidth="1" min="2" max="2"/>
    <col width="58" customWidth="1" min="3" max="3"/>
  </cols>
  <sheetData>
    <row r="1" ht="30" customHeight="1">
      <c r="A1" s="24" t="inlineStr">
        <is>
          <t>Instrucciones de uso — Checklist QA MEP</t>
        </is>
      </c>
    </row>
    <row r="2" ht="15.75" customHeight="1"/>
    <row r="3" ht="15.75" customHeight="1">
      <c r="B3" s="25" t="inlineStr">
        <is>
          <t>Flujo de trabajo</t>
        </is>
      </c>
      <c r="C3" s="29" t="n"/>
    </row>
    <row r="4" ht="31.5" customHeight="1">
      <c r="B4" s="16" t="inlineStr">
        <is>
          <t>1. Recepción</t>
        </is>
      </c>
      <c r="C4" s="17" t="inlineStr">
        <is>
          <t>Al recibir el paquete MEP, registrar el ID, revisor y fecha de recepción en la hoja 'Checklist QA'. La fecha SLA (24h hábiles) se calcula automáticamente.</t>
        </is>
      </c>
    </row>
    <row r="5" ht="31.5" customHeight="1">
      <c r="B5" s="16" t="inlineStr">
        <is>
          <t>2. Revisión</t>
        </is>
      </c>
      <c r="C5" s="17" t="inlineStr">
        <is>
          <t>Para cada ítem, seleccionar el estado en la columna D usando el desplegable: OK, QA-Failed, Pendiente o N/A.</t>
        </is>
      </c>
    </row>
    <row r="6" ht="31.5" customHeight="1">
      <c r="B6" s="16" t="inlineStr">
        <is>
          <t>3. Observaciones</t>
        </is>
      </c>
      <c r="C6" s="17" t="inlineStr">
        <is>
          <t>Documentar cualquier hallazgo o bloqueo en la columna 'Observaciones'. Los ítems con QA-Failed deben tener observación obligatoria.</t>
        </is>
      </c>
    </row>
    <row r="7" ht="31.5" customHeight="1">
      <c r="B7" s="16" t="inlineStr">
        <is>
          <t>4. Veredicto</t>
        </is>
      </c>
      <c r="C7" s="17" t="inlineStr">
        <is>
          <t>El veredicto final (celda F3) se calcula automáticamente: Accepted ✓ solo cuando todos los ítems son OK o N/A.</t>
        </is>
      </c>
    </row>
    <row r="8" ht="31.5" customHeight="1">
      <c r="B8" s="16" t="inlineStr">
        <is>
          <t>5. QA-Failed</t>
        </is>
      </c>
      <c r="C8" s="17" t="inlineStr">
        <is>
          <t>Si hay ítems con QA-Failed, copiar las observaciones al MEP Tracker y notificar al SPOC para iniciar el ciclo de corrección.</t>
        </is>
      </c>
    </row>
    <row r="9" ht="15.75" customHeight="1"/>
    <row r="10" ht="15.75" customHeight="1">
      <c r="B10" s="25" t="inlineStr">
        <is>
          <t>Estados disponibles</t>
        </is>
      </c>
      <c r="C10" s="29" t="n"/>
    </row>
    <row r="11" ht="31.5" customHeight="1">
      <c r="B11" s="16" t="inlineStr">
        <is>
          <t>OK</t>
        </is>
      </c>
      <c r="C11" s="17" t="inlineStr">
        <is>
          <t>El ítem cumple con el criterio establecido. No requiere acción adicional.</t>
        </is>
      </c>
    </row>
    <row r="12" ht="31.5" customHeight="1">
      <c r="B12" s="16" t="inlineStr">
        <is>
          <t>QA-Failed</t>
        </is>
      </c>
      <c r="C12" s="17" t="inlineStr">
        <is>
          <t>El ítem NO cumple. Es bloqueante. Debe documentarse la observación y enviarse al SPOC para corrección.</t>
        </is>
      </c>
    </row>
    <row r="13" ht="31.5" customHeight="1">
      <c r="B13" s="16" t="inlineStr">
        <is>
          <t>Pendiente</t>
        </is>
      </c>
      <c r="C13" s="17" t="inlineStr">
        <is>
          <t>El ítem aún no ha sido revisado (estado inicial por defecto).</t>
        </is>
      </c>
    </row>
    <row r="14" ht="31.5" customHeight="1">
      <c r="B14" s="16" t="inlineStr">
        <is>
          <t>N/A</t>
        </is>
      </c>
      <c r="C14" s="17" t="inlineStr">
        <is>
          <t>El ítem no aplica para este MEP específico (ej. activo sin relaciones para volumetrías de cardinalidad).</t>
        </is>
      </c>
    </row>
    <row r="15" ht="15.75" customHeight="1"/>
    <row r="16" ht="15.75" customHeight="1">
      <c r="B16" s="25" t="inlineStr">
        <is>
          <t>Notas importantes</t>
        </is>
      </c>
      <c r="C16" s="29" t="n"/>
    </row>
    <row r="17" ht="31.5" customHeight="1">
      <c r="B17" s="16" t="inlineStr">
        <is>
          <t>SLA</t>
        </is>
      </c>
      <c r="C17" s="17" t="inlineStr">
        <is>
          <t>El QA debe completarse en 24 horas hábiles desde la fecha de recepción registrada en el MEP Tracker.</t>
        </is>
      </c>
    </row>
    <row r="18" ht="31.5" customHeight="1">
      <c r="B18" s="16" t="inlineStr">
        <is>
          <t>Activos VALTX</t>
        </is>
      </c>
      <c r="C18" s="17" t="inlineStr">
        <is>
          <t>Verificar siempre que la coordinación fue gestionada por el SPOC de Integratel, no directamente por el DBA.</t>
        </is>
      </c>
    </row>
    <row r="19" ht="31.5" customHeight="1">
      <c r="B19" s="16" t="inlineStr">
        <is>
          <t>OpenMetadata</t>
        </is>
      </c>
      <c r="C19" s="17" t="inlineStr">
        <is>
          <t>Los ítems de la sección 5 son prerequisito para la ingesta. Sin ownership y tags mínimos, el MEP no puede pasar a estado Ingested.</t>
        </is>
      </c>
    </row>
    <row r="20" ht="31.5" customHeight="1">
      <c r="B20" s="16" t="inlineStr">
        <is>
          <t>Trazabilidad</t>
        </is>
      </c>
      <c r="C20" s="17" t="inlineStr">
        <is>
          <t>Conservar esta hoja completada como evidencia del QA. Debe ser adjuntada al registro del MEP en SharePoint.</t>
        </is>
      </c>
    </row>
  </sheetData>
  <mergeCells count="4">
    <mergeCell ref="A1:C1"/>
    <mergeCell ref="B3:C3"/>
    <mergeCell ref="B16:C16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selection activeCell="A1" sqref="A1:I1"/>
    </sheetView>
  </sheetViews>
  <sheetFormatPr baseColWidth="10" defaultColWidth="8.6328125" defaultRowHeight="14.5"/>
  <cols>
    <col width="16" customWidth="1" min="1" max="1"/>
    <col width="14" customWidth="1" min="2" max="6"/>
    <col width="20" customWidth="1" min="7" max="7"/>
    <col width="22" customWidth="1" min="8" max="8"/>
    <col width="30" customWidth="1" min="9" max="9"/>
  </cols>
  <sheetData>
    <row r="1" ht="27.75" customHeight="1">
      <c r="A1" s="26" t="inlineStr">
        <is>
          <t>MEP Tracker — Registro de ciclo de vida</t>
        </is>
      </c>
    </row>
    <row r="2" ht="19.5" customHeight="1">
      <c r="A2" s="4" t="inlineStr">
        <is>
          <t>ID MEP</t>
        </is>
      </c>
      <c r="B2" s="4" t="inlineStr">
        <is>
          <t>Fecha request</t>
        </is>
      </c>
      <c r="C2" s="4" t="inlineStr">
        <is>
          <t>Fecha recepción</t>
        </is>
      </c>
      <c r="D2" s="4" t="inlineStr">
        <is>
          <t>Fecha SLA</t>
        </is>
      </c>
      <c r="E2" s="4" t="inlineStr">
        <is>
          <t>Fecha QA</t>
        </is>
      </c>
      <c r="F2" s="4" t="inlineStr">
        <is>
          <t>Estado actual</t>
        </is>
      </c>
      <c r="G2" s="4" t="inlineStr">
        <is>
          <t>Veredicto QA</t>
        </is>
      </c>
      <c r="H2" s="4" t="inlineStr">
        <is>
          <t>Ciclos corrección</t>
        </is>
      </c>
      <c r="I2" s="4" t="inlineStr">
        <is>
          <t>Observaciones</t>
        </is>
      </c>
    </row>
    <row r="3" ht="18" customHeight="1">
      <c r="A3" s="18" t="inlineStr">
        <is>
          <t>MEP_WINDBTVNB0001</t>
        </is>
      </c>
      <c r="B3" s="18" t="n"/>
      <c r="C3" s="18" t="inlineStr">
        <is>
          <t>2026-03-09</t>
        </is>
      </c>
      <c r="D3" s="18" t="n"/>
      <c r="E3" s="18" t="inlineStr">
        <is>
          <t>2026-03-20</t>
        </is>
      </c>
      <c r="F3" s="18" t="inlineStr">
        <is>
          <t>APROBADO CON OBSERVACIONES</t>
        </is>
      </c>
      <c r="G3" s="18" t="inlineStr">
        <is>
          <t>APROBADO CON OBSERVACIONES</t>
        </is>
      </c>
      <c r="H3" s="17" t="n">
        <v>0</v>
      </c>
      <c r="I3" s="17" t="inlineStr">
        <is>
          <t>Score 62/100 (C). | Contrasenas SSIS /DECRYPT expuestas en texto plano | Connection strings con credenciales SQL en paquetes SSIS | Subcarpeta G_Lineage_Documentacion sin contenido util</t>
        </is>
      </c>
    </row>
    <row r="4" ht="18" customHeight="1">
      <c r="A4" s="19" t="n"/>
      <c r="B4" s="19" t="n"/>
      <c r="C4" s="19" t="n"/>
      <c r="D4" s="19" t="n"/>
      <c r="E4" s="19" t="n"/>
      <c r="F4" s="19" t="n"/>
      <c r="G4" s="19" t="n"/>
      <c r="H4" s="20" t="n"/>
      <c r="I4" s="20" t="n"/>
    </row>
    <row r="5" ht="18" customHeight="1">
      <c r="A5" s="18" t="n"/>
      <c r="B5" s="18" t="n"/>
      <c r="C5" s="18" t="n"/>
      <c r="D5" s="18" t="n"/>
      <c r="E5" s="18" t="n"/>
      <c r="F5" s="18" t="n"/>
      <c r="G5" s="18" t="n"/>
      <c r="H5" s="17" t="n"/>
      <c r="I5" s="17" t="n"/>
    </row>
    <row r="6" ht="18" customHeight="1">
      <c r="A6" s="19" t="n"/>
      <c r="B6" s="19" t="n"/>
      <c r="C6" s="19" t="n"/>
      <c r="D6" s="19" t="n"/>
      <c r="E6" s="19" t="n"/>
      <c r="F6" s="19" t="n"/>
      <c r="G6" s="19" t="n"/>
      <c r="H6" s="20" t="n"/>
      <c r="I6" s="20" t="n"/>
    </row>
    <row r="7" ht="18" customHeight="1">
      <c r="A7" s="18" t="n"/>
      <c r="B7" s="18" t="n"/>
      <c r="C7" s="18" t="n"/>
      <c r="D7" s="18" t="n"/>
      <c r="E7" s="18" t="n"/>
      <c r="F7" s="18" t="n"/>
      <c r="G7" s="18" t="n"/>
      <c r="H7" s="17" t="n"/>
      <c r="I7" s="17" t="n"/>
    </row>
    <row r="8" ht="18" customHeight="1">
      <c r="A8" s="19" t="n"/>
      <c r="B8" s="19" t="n"/>
      <c r="C8" s="19" t="n"/>
      <c r="D8" s="19" t="n"/>
      <c r="E8" s="19" t="n"/>
      <c r="F8" s="19" t="n"/>
      <c r="G8" s="19" t="n"/>
      <c r="H8" s="20" t="n"/>
      <c r="I8" s="20" t="n"/>
    </row>
    <row r="9" ht="18" customHeight="1">
      <c r="A9" s="18" t="n"/>
      <c r="B9" s="18" t="n"/>
      <c r="C9" s="18" t="n"/>
      <c r="D9" s="18" t="n"/>
      <c r="E9" s="18" t="n"/>
      <c r="F9" s="18" t="n"/>
      <c r="G9" s="18" t="n"/>
      <c r="H9" s="17" t="n"/>
      <c r="I9" s="17" t="n"/>
    </row>
    <row r="10" ht="18" customHeight="1">
      <c r="A10" s="19" t="n"/>
      <c r="B10" s="19" t="n"/>
      <c r="C10" s="19" t="n"/>
      <c r="D10" s="19" t="n"/>
      <c r="E10" s="19" t="n"/>
      <c r="F10" s="19" t="n"/>
      <c r="G10" s="19" t="n"/>
      <c r="H10" s="20" t="n"/>
      <c r="I10" s="20" t="n"/>
    </row>
    <row r="11" ht="18" customHeight="1">
      <c r="A11" s="18" t="n"/>
      <c r="B11" s="18" t="n"/>
      <c r="C11" s="18" t="n"/>
      <c r="D11" s="18" t="n"/>
      <c r="E11" s="18" t="n"/>
      <c r="F11" s="18" t="n"/>
      <c r="G11" s="18" t="n"/>
      <c r="H11" s="17" t="n"/>
      <c r="I11" s="17" t="n"/>
    </row>
    <row r="12" ht="18" customHeight="1">
      <c r="A12" s="19" t="n"/>
      <c r="B12" s="19" t="n"/>
      <c r="C12" s="19" t="n"/>
      <c r="D12" s="19" t="n"/>
      <c r="E12" s="19" t="n"/>
      <c r="F12" s="19" t="n"/>
      <c r="G12" s="19" t="n"/>
      <c r="H12" s="20" t="n"/>
      <c r="I12" s="20" t="n"/>
    </row>
    <row r="13" ht="18" customHeight="1">
      <c r="A13" s="18" t="n"/>
      <c r="B13" s="18" t="n"/>
      <c r="C13" s="18" t="n"/>
      <c r="D13" s="18" t="n"/>
      <c r="E13" s="18" t="n"/>
      <c r="F13" s="18" t="n"/>
      <c r="G13" s="18" t="n"/>
      <c r="H13" s="17" t="n"/>
      <c r="I13" s="17" t="n"/>
    </row>
    <row r="14" ht="18" customHeight="1">
      <c r="A14" s="19" t="n"/>
      <c r="B14" s="19" t="n"/>
      <c r="C14" s="19" t="n"/>
      <c r="D14" s="19" t="n"/>
      <c r="E14" s="19" t="n"/>
      <c r="F14" s="19" t="n"/>
      <c r="G14" s="19" t="n"/>
      <c r="H14" s="20" t="n"/>
      <c r="I14" s="20" t="n"/>
    </row>
    <row r="15" ht="18" customHeight="1">
      <c r="A15" s="18" t="n"/>
      <c r="B15" s="18" t="n"/>
      <c r="C15" s="18" t="n"/>
      <c r="D15" s="18" t="n"/>
      <c r="E15" s="18" t="n"/>
      <c r="F15" s="18" t="n"/>
      <c r="G15" s="18" t="n"/>
      <c r="H15" s="17" t="n"/>
      <c r="I15" s="17" t="n"/>
    </row>
    <row r="16" ht="18" customHeight="1">
      <c r="A16" s="19" t="n"/>
      <c r="B16" s="19" t="n"/>
      <c r="C16" s="19" t="n"/>
      <c r="D16" s="19" t="n"/>
      <c r="E16" s="19" t="n"/>
      <c r="F16" s="19" t="n"/>
      <c r="G16" s="19" t="n"/>
      <c r="H16" s="20" t="n"/>
      <c r="I16" s="20" t="n"/>
    </row>
    <row r="17" ht="18" customHeight="1">
      <c r="A17" s="18" t="n"/>
      <c r="B17" s="18" t="n"/>
      <c r="C17" s="18" t="n"/>
      <c r="D17" s="18" t="n"/>
      <c r="E17" s="18" t="n"/>
      <c r="F17" s="18" t="n"/>
      <c r="G17" s="18" t="n"/>
      <c r="H17" s="17" t="n"/>
      <c r="I17" s="17" t="n"/>
    </row>
    <row r="18" ht="18" customHeight="1">
      <c r="A18" s="19" t="n"/>
      <c r="B18" s="19" t="n"/>
      <c r="C18" s="19" t="n"/>
      <c r="D18" s="19" t="n"/>
      <c r="E18" s="19" t="n"/>
      <c r="F18" s="19" t="n"/>
      <c r="G18" s="19" t="n"/>
      <c r="H18" s="20" t="n"/>
      <c r="I18" s="20" t="n"/>
    </row>
    <row r="19" ht="18" customHeight="1">
      <c r="A19" s="18" t="n"/>
      <c r="B19" s="18" t="n"/>
      <c r="C19" s="18" t="n"/>
      <c r="D19" s="18" t="n"/>
      <c r="E19" s="18" t="n"/>
      <c r="F19" s="18" t="n"/>
      <c r="G19" s="18" t="n"/>
      <c r="H19" s="17" t="n"/>
      <c r="I19" s="17" t="n"/>
    </row>
    <row r="20" ht="18" customHeight="1">
      <c r="A20" s="19" t="n"/>
      <c r="B20" s="19" t="n"/>
      <c r="C20" s="19" t="n"/>
      <c r="D20" s="19" t="n"/>
      <c r="E20" s="19" t="n"/>
      <c r="F20" s="19" t="n"/>
      <c r="G20" s="19" t="n"/>
      <c r="H20" s="20" t="n"/>
      <c r="I20" s="20" t="n"/>
    </row>
    <row r="21" ht="18" customHeight="1">
      <c r="A21" s="18" t="n"/>
      <c r="B21" s="18" t="n"/>
      <c r="C21" s="18" t="n"/>
      <c r="D21" s="18" t="n"/>
      <c r="E21" s="18" t="n"/>
      <c r="F21" s="18" t="n"/>
      <c r="G21" s="18" t="n"/>
      <c r="H21" s="17" t="n"/>
      <c r="I21" s="17" t="n"/>
    </row>
    <row r="22" ht="18" customHeight="1">
      <c r="A22" s="19" t="n"/>
      <c r="B22" s="19" t="n"/>
      <c r="C22" s="19" t="n"/>
      <c r="D22" s="19" t="n"/>
      <c r="E22" s="19" t="n"/>
      <c r="F22" s="19" t="n"/>
      <c r="G22" s="19" t="n"/>
      <c r="H22" s="20" t="n"/>
      <c r="I22" s="20" t="n"/>
    </row>
  </sheetData>
  <mergeCells count="1">
    <mergeCell ref="A1:I1"/>
  </mergeCells>
  <dataValidations count="2">
    <dataValidation sqref="F3:F22" showDropDown="0" showInputMessage="0" showErrorMessage="0" allowBlank="1" type="list">
      <formula1>"Requested,In-Progress,Received,QA,Accepted,QA-Failed,Ingested,Used"</formula1>
      <formula2>0</formula2>
    </dataValidation>
    <dataValidation sqref="G3:G22" showDropDown="0" showInputMessage="0" showErrorMessage="0" allowBlank="1" type="list">
      <formula1>"Accepted ✓,QA-Failed ✗,En revisión,Pendiente"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2026-03-18T19:48:03Z</dcterms:created>
  <dcterms:modified xmlns:dcterms="http://purl.org/dc/terms/" xmlns:xsi="http://www.w3.org/2001/XMLSchema-instance" xsi:type="dcterms:W3CDTF">2026-03-20T15:58:19Z</dcterms:modified>
  <cp:lastModifiedBy>Jytte Mork Coloma</cp:lastModifiedBy>
  <cp:revision>0</cp:revision>
</cp:coreProperties>
</file>